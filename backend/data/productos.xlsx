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4"/>
    <sheet state="visible" name="Hoja 7" sheetId="2" r:id="rId5"/>
    <sheet state="visible" name="ENTRADAS" sheetId="3" r:id="rId6"/>
    <sheet state="visible" name="SALIDAS" sheetId="4" r:id="rId7"/>
    <sheet state="visible" name="TOTALES" sheetId="5" r:id="rId8"/>
    <sheet state="visible" name="datos recolectados" sheetId="6" r:id="rId9"/>
  </sheets>
  <definedNames/>
  <calcPr/>
</workbook>
</file>

<file path=xl/sharedStrings.xml><?xml version="1.0" encoding="utf-8"?>
<sst xmlns="http://schemas.openxmlformats.org/spreadsheetml/2006/main" count="3663" uniqueCount="1953">
  <si>
    <t>INVENTARIO DE PAÑOL</t>
  </si>
  <si>
    <t>REFERENCIA</t>
  </si>
  <si>
    <t>DESCRIPCIÓN DE PRODUCTO</t>
  </si>
  <si>
    <t>EQUIPO DONDE SE APLICA</t>
  </si>
  <si>
    <t>DISPONIBLES</t>
  </si>
  <si>
    <t>DETALLE</t>
  </si>
  <si>
    <t>TIPO</t>
  </si>
  <si>
    <t>CAD-40-Simple</t>
  </si>
  <si>
    <t>ASA 40 simple</t>
  </si>
  <si>
    <t>en varias maq-</t>
  </si>
  <si>
    <t>CAD-50-Simple</t>
  </si>
  <si>
    <t>ASA 50 simple</t>
  </si>
  <si>
    <t>trasp-horno</t>
  </si>
  <si>
    <t>CAD-S55</t>
  </si>
  <si>
    <t>ASA S55 simple</t>
  </si>
  <si>
    <t>estivador L-GA3000</t>
  </si>
  <si>
    <t>CAD-50 Doble</t>
  </si>
  <si>
    <t>ASA 50 doble</t>
  </si>
  <si>
    <t>CAD-SS50</t>
  </si>
  <si>
    <t>ASA 50 simple inoxidable</t>
  </si>
  <si>
    <t>transp-salida horno</t>
  </si>
  <si>
    <t>CAD-S60 Doble</t>
  </si>
  <si>
    <t>ASA 60 DOBLE</t>
  </si>
  <si>
    <t>armadora-horno</t>
  </si>
  <si>
    <t>CAD-S60 Simple</t>
  </si>
  <si>
    <t>60-simple</t>
  </si>
  <si>
    <t>laminadores en tapas</t>
  </si>
  <si>
    <t>CAD-ASA80X2</t>
  </si>
  <si>
    <t>cadena ASA 80 doble</t>
  </si>
  <si>
    <t>amasadora</t>
  </si>
  <si>
    <t>CAD-06B-2</t>
  </si>
  <si>
    <t>06-B2 doble</t>
  </si>
  <si>
    <t>divisora L-GA3000</t>
  </si>
  <si>
    <t>CAD- 06-Simple</t>
  </si>
  <si>
    <t>06-B1 simple</t>
  </si>
  <si>
    <t>cinta -mesa de apile (tapas)</t>
  </si>
  <si>
    <t>Medio Union Cad 06B1 (simple)</t>
  </si>
  <si>
    <t>Medio eslabon</t>
  </si>
  <si>
    <t>Medio Union Cad 06B1 (doble)</t>
  </si>
  <si>
    <t>Union Cad 06B1 (simple)</t>
  </si>
  <si>
    <t>Union 06B1</t>
  </si>
  <si>
    <t>Union Cad 06B2 (doble)</t>
  </si>
  <si>
    <t>Union 06B2</t>
  </si>
  <si>
    <t>maq-jake</t>
  </si>
  <si>
    <t>MED-UNI-CAD-40X1</t>
  </si>
  <si>
    <t>maq- divis-imepa</t>
  </si>
  <si>
    <t>UNI-CAD-40X1</t>
  </si>
  <si>
    <t>union cadena 40 simple</t>
  </si>
  <si>
    <t>varias maq-</t>
  </si>
  <si>
    <t>UNI-CAD-40X1 C/ALTEA</t>
  </si>
  <si>
    <t>Union cadena ASA 40 con ALETA LATERAL</t>
  </si>
  <si>
    <t>Embolsadora salida rebanadora</t>
  </si>
  <si>
    <t>Union cad 50</t>
  </si>
  <si>
    <t>UNI-CAD-50Simple</t>
  </si>
  <si>
    <t>Union cad 50 simple</t>
  </si>
  <si>
    <t>union cadena ASA 50 doble</t>
  </si>
  <si>
    <t>UNI-CAD-60 Simple</t>
  </si>
  <si>
    <t>Union cad ASA 60 simple</t>
  </si>
  <si>
    <t>UNI-CAD-60-Doble</t>
  </si>
  <si>
    <t>Union cadena ASA 60 doble</t>
  </si>
  <si>
    <t>MED-CAD-60-Doble</t>
  </si>
  <si>
    <t>Medio Eslab.ASA 60 doble</t>
  </si>
  <si>
    <t>Union cad ASA 80-Doble</t>
  </si>
  <si>
    <t>Medio eslabon ASA80</t>
  </si>
  <si>
    <t>Horno-Armadora de tapas</t>
  </si>
  <si>
    <t>UN-CAD-80X2</t>
  </si>
  <si>
    <t>union cadena ASA 80 doble</t>
  </si>
  <si>
    <t>CAD-120 Doble</t>
  </si>
  <si>
    <t>Cadena ASA 120 Doble</t>
  </si>
  <si>
    <t>Enfriador</t>
  </si>
  <si>
    <t>MED-CAD-120 Doble</t>
  </si>
  <si>
    <t xml:space="preserve"> Medio Eslabon Cadena ASA 120 Doble</t>
  </si>
  <si>
    <t>Union-CAD-120 Doble</t>
  </si>
  <si>
    <t>Union Cadena ASA 120 doble</t>
  </si>
  <si>
    <t>Union Cad S55</t>
  </si>
  <si>
    <t>S55 Union</t>
  </si>
  <si>
    <t>Estibador</t>
  </si>
  <si>
    <t>MED-Union Cad S55</t>
  </si>
  <si>
    <t>S55 medio eslabon</t>
  </si>
  <si>
    <t xml:space="preserve">Estibador </t>
  </si>
  <si>
    <t>PERNOS -ESTIBA</t>
  </si>
  <si>
    <t>Pernos Para Bandejas Estibador</t>
  </si>
  <si>
    <t>Estibador L-GA3000</t>
  </si>
  <si>
    <t>ROD- CF1 1/8 S</t>
  </si>
  <si>
    <t>CF 1 1/8 S</t>
  </si>
  <si>
    <t>LEVA ENBOLS-AMF</t>
  </si>
  <si>
    <t>ROD-UCT208</t>
  </si>
  <si>
    <t>UCT208</t>
  </si>
  <si>
    <t>banda desmoldador</t>
  </si>
  <si>
    <t>ROD-GY1103KRRB3</t>
  </si>
  <si>
    <t>GY1103KRRB3</t>
  </si>
  <si>
    <t>ROD-UL211-200</t>
  </si>
  <si>
    <t>UL211-200</t>
  </si>
  <si>
    <t>ROD-UC203</t>
  </si>
  <si>
    <t>UC203</t>
  </si>
  <si>
    <t>ROD-UC206-20</t>
  </si>
  <si>
    <t>UC206-20 EJE 31,74</t>
  </si>
  <si>
    <t>ROD-UC206</t>
  </si>
  <si>
    <t>UC206-EJE 30</t>
  </si>
  <si>
    <t>L-GA3000</t>
  </si>
  <si>
    <t>ROD-UC206-104D1</t>
  </si>
  <si>
    <t>UC206-104D1</t>
  </si>
  <si>
    <t>ROD-AEL206</t>
  </si>
  <si>
    <t>AEL206-104D1</t>
  </si>
  <si>
    <t>ROD-UC206-G</t>
  </si>
  <si>
    <t>UC206G</t>
  </si>
  <si>
    <t>ROD-GRA103RRB</t>
  </si>
  <si>
    <t>GRA103RRB</t>
  </si>
  <si>
    <t>ROD-UC204</t>
  </si>
  <si>
    <t>UC204</t>
  </si>
  <si>
    <t>ROD-UC204D1</t>
  </si>
  <si>
    <t>UC204D1</t>
  </si>
  <si>
    <t>ROD-AS204D1</t>
  </si>
  <si>
    <t>AS204D1</t>
  </si>
  <si>
    <t>ROD-UC202-010D1</t>
  </si>
  <si>
    <t>UC202-010D1</t>
  </si>
  <si>
    <t>ROD-UC211</t>
  </si>
  <si>
    <t>UC211-200D1</t>
  </si>
  <si>
    <t>eje de amasadora</t>
  </si>
  <si>
    <t>ROD-UC212</t>
  </si>
  <si>
    <t>UC212D1</t>
  </si>
  <si>
    <t>NO</t>
  </si>
  <si>
    <t>ROD-UC205</t>
  </si>
  <si>
    <t>UC205</t>
  </si>
  <si>
    <t>saca tapas y transp. Masa</t>
  </si>
  <si>
    <t>ROD-UC208</t>
  </si>
  <si>
    <t>UC208-40MM</t>
  </si>
  <si>
    <t>eje banda de chupetes</t>
  </si>
  <si>
    <t>ROD-UC214</t>
  </si>
  <si>
    <t>UC214D1</t>
  </si>
  <si>
    <t>eje del horno</t>
  </si>
  <si>
    <t>ROD-UC209</t>
  </si>
  <si>
    <t>UC209</t>
  </si>
  <si>
    <t>tubina fermentadora</t>
  </si>
  <si>
    <t>ROD-NK16/20R</t>
  </si>
  <si>
    <t>NK16/20R</t>
  </si>
  <si>
    <t>ROD-AS204</t>
  </si>
  <si>
    <t>AS204-012D1</t>
  </si>
  <si>
    <t>ROD-AS206-104</t>
  </si>
  <si>
    <t>AS206-104</t>
  </si>
  <si>
    <t>ROD-GYE20KRRB</t>
  </si>
  <si>
    <t>GYE20KRRB</t>
  </si>
  <si>
    <t>ROD-YEL206</t>
  </si>
  <si>
    <t>YEL206</t>
  </si>
  <si>
    <t>ROD-YET206</t>
  </si>
  <si>
    <t>YET206-103</t>
  </si>
  <si>
    <t>turbina fermentadora</t>
  </si>
  <si>
    <t>ROD-YET202-010</t>
  </si>
  <si>
    <t>YET202-010</t>
  </si>
  <si>
    <t>ROD-UEL211</t>
  </si>
  <si>
    <t>UEL211-200</t>
  </si>
  <si>
    <t>ROD-NA206</t>
  </si>
  <si>
    <t>NA206</t>
  </si>
  <si>
    <t>ROD-UCP203D1</t>
  </si>
  <si>
    <t>UCP203D1</t>
  </si>
  <si>
    <t>ROD-UCP214</t>
  </si>
  <si>
    <t>UCP214D1</t>
  </si>
  <si>
    <t>eje de trans.prod.horno</t>
  </si>
  <si>
    <t>ROD-H309</t>
  </si>
  <si>
    <t>H309</t>
  </si>
  <si>
    <t>turbina horno</t>
  </si>
  <si>
    <t>ROD-H309- usado</t>
  </si>
  <si>
    <t>H309 USADO</t>
  </si>
  <si>
    <t>SET328</t>
  </si>
  <si>
    <t>ROD-1209K</t>
  </si>
  <si>
    <t>1209K C3</t>
  </si>
  <si>
    <t>Turbina horno</t>
  </si>
  <si>
    <t>ROD-1209K-usado</t>
  </si>
  <si>
    <t>1209SK C3</t>
  </si>
  <si>
    <t>usados</t>
  </si>
  <si>
    <t>ROD-32007A</t>
  </si>
  <si>
    <t>32007A</t>
  </si>
  <si>
    <t>ROD-32007X</t>
  </si>
  <si>
    <t>32007X 4T-3007X</t>
  </si>
  <si>
    <t>reductor de armadora</t>
  </si>
  <si>
    <t>ROD-HR 32010 J</t>
  </si>
  <si>
    <t>ROD-HE 32207 I</t>
  </si>
  <si>
    <t>ROD-32015 JR</t>
  </si>
  <si>
    <t>32015 JR</t>
  </si>
  <si>
    <t>Ejes de sinfín maq margarina</t>
  </si>
  <si>
    <t>ROD-1212</t>
  </si>
  <si>
    <t>1212 doble bolilla cilindrico</t>
  </si>
  <si>
    <t>ROD-32017 X</t>
  </si>
  <si>
    <t>32017 X</t>
  </si>
  <si>
    <t>ROD-30212-KML</t>
  </si>
  <si>
    <t>30212-KML</t>
  </si>
  <si>
    <t>ROD-30204</t>
  </si>
  <si>
    <t>30204 4T-30204</t>
  </si>
  <si>
    <t>ROD-5205-ZZ</t>
  </si>
  <si>
    <t>5205SCZZ/2AS</t>
  </si>
  <si>
    <t>enbolsadora AMF</t>
  </si>
  <si>
    <t>ROD-1604</t>
  </si>
  <si>
    <t>1604DCTNTG18</t>
  </si>
  <si>
    <t>ROD-1621</t>
  </si>
  <si>
    <t>1621DCTNTG18</t>
  </si>
  <si>
    <t>ROD-1630</t>
  </si>
  <si>
    <t>1630 LLUU</t>
  </si>
  <si>
    <t>rebanadora y embolsadora</t>
  </si>
  <si>
    <t>ROD-1623</t>
  </si>
  <si>
    <t>ban-sal-maq-jake</t>
  </si>
  <si>
    <t>ROD- 1820</t>
  </si>
  <si>
    <t>18X25X20</t>
  </si>
  <si>
    <t>eje de amasado/amasadora</t>
  </si>
  <si>
    <t>ROD-ART GE17</t>
  </si>
  <si>
    <t>Rod. articulado GE17ES 2RS  Int17/Ext30</t>
  </si>
  <si>
    <t>Varios</t>
  </si>
  <si>
    <t>ROD-1220ZKL</t>
  </si>
  <si>
    <t>1220ZKL</t>
  </si>
  <si>
    <t>piñon del diferencial -amasa-</t>
  </si>
  <si>
    <t>ROD- R1581TV</t>
  </si>
  <si>
    <t>R1581TV</t>
  </si>
  <si>
    <t>diferensial de amasadora</t>
  </si>
  <si>
    <t>ROD-387-382A</t>
  </si>
  <si>
    <t>4-387A-382A</t>
  </si>
  <si>
    <t>FL-205</t>
  </si>
  <si>
    <t>Bancada de dos fijaciones para uc205</t>
  </si>
  <si>
    <t>UCP-UCP211</t>
  </si>
  <si>
    <t>UCP211</t>
  </si>
  <si>
    <t>ROD-UCP209</t>
  </si>
  <si>
    <t>UCP209</t>
  </si>
  <si>
    <t>ROD-UC207</t>
  </si>
  <si>
    <t>UC207</t>
  </si>
  <si>
    <t>Linea IMEPA</t>
  </si>
  <si>
    <t>ROD-382A</t>
  </si>
  <si>
    <t>4T-382A</t>
  </si>
  <si>
    <t>rebanadora y enbolsadora</t>
  </si>
  <si>
    <t>ROD-203KRR2</t>
  </si>
  <si>
    <t>203KRR2</t>
  </si>
  <si>
    <t>ROD-203KDD</t>
  </si>
  <si>
    <t>203KDD</t>
  </si>
  <si>
    <t>gancho de atadora</t>
  </si>
  <si>
    <t>ROD-R6RS</t>
  </si>
  <si>
    <t>cintas laterales rebanadora</t>
  </si>
  <si>
    <t>ROD-R8LLUC3</t>
  </si>
  <si>
    <t xml:space="preserve">R8LLUC3 </t>
  </si>
  <si>
    <t>Cep.Atadora</t>
  </si>
  <si>
    <t>ROD-R10RS</t>
  </si>
  <si>
    <t>ROD-63310</t>
  </si>
  <si>
    <t>63310LLU 63310LLU/2AS</t>
  </si>
  <si>
    <t>ROD-6000</t>
  </si>
  <si>
    <t>6000LLUC3</t>
  </si>
  <si>
    <t>ROD-6001</t>
  </si>
  <si>
    <t>6001 JRXLLUC3/2AS</t>
  </si>
  <si>
    <t>para rueda de carros</t>
  </si>
  <si>
    <t>ROD- 6003</t>
  </si>
  <si>
    <t>6003 LLU/C3 - 17X35X10</t>
  </si>
  <si>
    <t>ROD-6002</t>
  </si>
  <si>
    <t>para motores</t>
  </si>
  <si>
    <t>ROD-6004</t>
  </si>
  <si>
    <t>6004-2RST/C3</t>
  </si>
  <si>
    <t>para transp de masa</t>
  </si>
  <si>
    <t>ROD-6004ZZ</t>
  </si>
  <si>
    <t>6004ZZ</t>
  </si>
  <si>
    <t>ROD-6005</t>
  </si>
  <si>
    <t>6005LLUC3/ 6005LLUC3/2AS</t>
  </si>
  <si>
    <t>ROD-6006</t>
  </si>
  <si>
    <t>6006-2RSC/3</t>
  </si>
  <si>
    <t>ROD-6007</t>
  </si>
  <si>
    <t>6007LLUC3 6007LLUC3/2AS</t>
  </si>
  <si>
    <t>ROD-6008</t>
  </si>
  <si>
    <t>6008LLUC3</t>
  </si>
  <si>
    <t>ROD-608</t>
  </si>
  <si>
    <t>608Z</t>
  </si>
  <si>
    <t>Motores forzadores y amoladoras</t>
  </si>
  <si>
    <t>ROD-6009</t>
  </si>
  <si>
    <t>6009 2RS</t>
  </si>
  <si>
    <t>reductor maq-margarina</t>
  </si>
  <si>
    <t>ROD-6013</t>
  </si>
  <si>
    <t>ROD-6200</t>
  </si>
  <si>
    <t>6200-2RSC3</t>
  </si>
  <si>
    <t>ROD-AEL202</t>
  </si>
  <si>
    <t>AEL202</t>
  </si>
  <si>
    <t>ROD-6201</t>
  </si>
  <si>
    <t>6201LLUC3/2RS</t>
  </si>
  <si>
    <t>ROD-203KRR</t>
  </si>
  <si>
    <t>203KRR</t>
  </si>
  <si>
    <t>ROD-6201-ZZ</t>
  </si>
  <si>
    <t>6201ZZC3 6201ZZC3</t>
  </si>
  <si>
    <t>ROD-6202</t>
  </si>
  <si>
    <t>6202-2RS/C3 - 15X35X11</t>
  </si>
  <si>
    <t>ROD-6202-ZZC3</t>
  </si>
  <si>
    <t>6202ZZC3/EM 6202XXC3/L627</t>
  </si>
  <si>
    <t>6202LLUC3</t>
  </si>
  <si>
    <t>cajas de trsm-enbol-AMF</t>
  </si>
  <si>
    <t>ROD-R10-2RS</t>
  </si>
  <si>
    <t>16X35X11</t>
  </si>
  <si>
    <t>L-GA3000 Y ESTIVADOR/mordazas de alipack</t>
  </si>
  <si>
    <t>ROD-6203</t>
  </si>
  <si>
    <t>6203 2RST/C3</t>
  </si>
  <si>
    <t>en motores</t>
  </si>
  <si>
    <t>ROD-6203-ZZ</t>
  </si>
  <si>
    <t>6203 ZZ C3</t>
  </si>
  <si>
    <t>ROD-6204</t>
  </si>
  <si>
    <t>6204LLUC3/EM 6204LLUC3/L627</t>
  </si>
  <si>
    <t>ROD-6205</t>
  </si>
  <si>
    <t>6205-2RST/C3</t>
  </si>
  <si>
    <t>6205 2RS</t>
  </si>
  <si>
    <t>Tens-amasadora</t>
  </si>
  <si>
    <t>ROD-6206</t>
  </si>
  <si>
    <t>6206LLUC3 6206 LLUC3/2AS</t>
  </si>
  <si>
    <t>ROD-6206ZZ</t>
  </si>
  <si>
    <t>6206 ZZ/C3</t>
  </si>
  <si>
    <t>piñones de armadora (tapas)</t>
  </si>
  <si>
    <t>ROD-6207</t>
  </si>
  <si>
    <t>6207LLUU/C3</t>
  </si>
  <si>
    <t>Tornillo embudo masa AMF</t>
  </si>
  <si>
    <t>ROD-6209</t>
  </si>
  <si>
    <t>6209LLUC3 6209LLUC3/2AS</t>
  </si>
  <si>
    <t>32007X</t>
  </si>
  <si>
    <t>ROD-6210</t>
  </si>
  <si>
    <t>6210LLUC3</t>
  </si>
  <si>
    <t>6210DDUB AS2S</t>
  </si>
  <si>
    <t>ROD-6302</t>
  </si>
  <si>
    <t>6302 2RSR/C3.J22C</t>
  </si>
  <si>
    <t>ROD-6304</t>
  </si>
  <si>
    <t>6304/2RS-C3</t>
  </si>
  <si>
    <t>ROD-NU 304 E</t>
  </si>
  <si>
    <t>Rod.Rodillos  piñon compensadores</t>
  </si>
  <si>
    <t>ROD-6307</t>
  </si>
  <si>
    <t>6307 2RS</t>
  </si>
  <si>
    <t>ROD-6310</t>
  </si>
  <si>
    <t>6310LLUC3/2AS</t>
  </si>
  <si>
    <t>piñones de rodi-sal-horno</t>
  </si>
  <si>
    <t>ROD-6800</t>
  </si>
  <si>
    <t>6800LLU</t>
  </si>
  <si>
    <t>cuchara enbol-AMF</t>
  </si>
  <si>
    <t>ROD-6904</t>
  </si>
  <si>
    <t>6904LLUC3 6904LLUC3/2AS</t>
  </si>
  <si>
    <t>ROD-22.207</t>
  </si>
  <si>
    <t>22.207CCW33/C3</t>
  </si>
  <si>
    <t>ROD-61800</t>
  </si>
  <si>
    <t>61800-2RS</t>
  </si>
  <si>
    <t>rodillos de tranferencias</t>
  </si>
  <si>
    <t>ROD--61903</t>
  </si>
  <si>
    <t>61903-2Z</t>
  </si>
  <si>
    <t>ROD-61904</t>
  </si>
  <si>
    <t>ROD-HM803149</t>
  </si>
  <si>
    <t>diferencial de amasadora</t>
  </si>
  <si>
    <t>ROD-M802048</t>
  </si>
  <si>
    <t>ROD- 6903</t>
  </si>
  <si>
    <t>ROD-62304</t>
  </si>
  <si>
    <t>rodamiento 62304 a bolilla, tensores piñones ingreso a coronas de tracción enfriador</t>
  </si>
  <si>
    <t>BANC- UCP203 D1</t>
  </si>
  <si>
    <t>BANC-P209</t>
  </si>
  <si>
    <t>P209</t>
  </si>
  <si>
    <t>transp-de masa</t>
  </si>
  <si>
    <t>BANC-F206</t>
  </si>
  <si>
    <t>F206</t>
  </si>
  <si>
    <t>eje de cinta trans.prod.horno</t>
  </si>
  <si>
    <t>BANC-P214</t>
  </si>
  <si>
    <t>P214</t>
  </si>
  <si>
    <t>eje amasadora</t>
  </si>
  <si>
    <t>BANC-P211</t>
  </si>
  <si>
    <t>P211</t>
  </si>
  <si>
    <t>para turbinas del horno</t>
  </si>
  <si>
    <t>BANC-509</t>
  </si>
  <si>
    <t>509-omegas</t>
  </si>
  <si>
    <t>rodillo transp.masa</t>
  </si>
  <si>
    <t>BANC-F205</t>
  </si>
  <si>
    <t>F205</t>
  </si>
  <si>
    <t>6007-2RS1-C3GJN</t>
  </si>
  <si>
    <t>FL204</t>
  </si>
  <si>
    <t>Bancada</t>
  </si>
  <si>
    <t>ejes de roceadora</t>
  </si>
  <si>
    <t>UCFL204</t>
  </si>
  <si>
    <t>Tornillo bomba de masa</t>
  </si>
  <si>
    <t>ROD-5212</t>
  </si>
  <si>
    <t>5212SC3</t>
  </si>
  <si>
    <t>punta del sernidor</t>
  </si>
  <si>
    <t>BAN-FL205</t>
  </si>
  <si>
    <t>FL205 +ROD</t>
  </si>
  <si>
    <t>GYE30KRRB</t>
  </si>
  <si>
    <t>GYE30KRRB SGT</t>
  </si>
  <si>
    <t>BAN- FC208</t>
  </si>
  <si>
    <t>FC208</t>
  </si>
  <si>
    <t>BAN-T208</t>
  </si>
  <si>
    <t>T-208</t>
  </si>
  <si>
    <t>BAN-T-214</t>
  </si>
  <si>
    <t>T-214</t>
  </si>
  <si>
    <t>en bancada de amasadora</t>
  </si>
  <si>
    <t>BUJ-220-235-80</t>
  </si>
  <si>
    <t>ROD- 22207</t>
  </si>
  <si>
    <t>YAR- 206-104</t>
  </si>
  <si>
    <t>ELEMENTOS GALBANIZADOS</t>
  </si>
  <si>
    <t>TAP- 1/2"</t>
  </si>
  <si>
    <t>tapon</t>
  </si>
  <si>
    <t>TAP-3/4"</t>
  </si>
  <si>
    <t>TAP- 1"</t>
  </si>
  <si>
    <t>ENT-1/2"</t>
  </si>
  <si>
    <t>entre rosca</t>
  </si>
  <si>
    <t>ENT-3/4"</t>
  </si>
  <si>
    <t>ENT- 1"</t>
  </si>
  <si>
    <t>ENT-1-1/4"</t>
  </si>
  <si>
    <t>ENT-1-1/2"</t>
  </si>
  <si>
    <t>ENT-2"</t>
  </si>
  <si>
    <t>CUP-1/2"</t>
  </si>
  <si>
    <t>cuplas</t>
  </si>
  <si>
    <t>CUP-3/4"</t>
  </si>
  <si>
    <t>CUP-1"</t>
  </si>
  <si>
    <t>CUP-1-1/2"</t>
  </si>
  <si>
    <t>CUP-2"</t>
  </si>
  <si>
    <t>codos</t>
  </si>
  <si>
    <t>COD-H-3/4"</t>
  </si>
  <si>
    <t>COD-H-1"</t>
  </si>
  <si>
    <t>COD-H-M 3/4"</t>
  </si>
  <si>
    <t>codo hembra macho</t>
  </si>
  <si>
    <t>CUR-H-M 1"</t>
  </si>
  <si>
    <t>curva a 45° hembra macho</t>
  </si>
  <si>
    <t>CUR-H45° 1/2"</t>
  </si>
  <si>
    <t>curva a 45| hembra</t>
  </si>
  <si>
    <t>CUR-H45| 1"</t>
  </si>
  <si>
    <t>curva a 45° hembra</t>
  </si>
  <si>
    <t>CUR-H45° 1-1/2"</t>
  </si>
  <si>
    <t>CUR-H75° 1-1/2"</t>
  </si>
  <si>
    <t>curva a 75° hembra</t>
  </si>
  <si>
    <t>CUR-H90° 1"</t>
  </si>
  <si>
    <t>curva a 90° hembra</t>
  </si>
  <si>
    <t>CUR-M-H 90°</t>
  </si>
  <si>
    <t>curva macho hembra a 90°</t>
  </si>
  <si>
    <t>UNI-T-H1/2"</t>
  </si>
  <si>
    <t>union T hembra</t>
  </si>
  <si>
    <t>UNI-T-H3/4"</t>
  </si>
  <si>
    <t>UNI-T-H1"</t>
  </si>
  <si>
    <t>UNI-T-H1-1/2"</t>
  </si>
  <si>
    <t>RED-H-M3/4 A 1/2"</t>
  </si>
  <si>
    <t>reduccion hembra macho</t>
  </si>
  <si>
    <t>RED-H-M1"A 1/2"</t>
  </si>
  <si>
    <t>RED-H-M1-1/2"A 1"</t>
  </si>
  <si>
    <t>RED-H-M2"A 1"</t>
  </si>
  <si>
    <t>RED-H-M2"A1-1/4"</t>
  </si>
  <si>
    <t>UNI-1/2"</t>
  </si>
  <si>
    <t>union doble</t>
  </si>
  <si>
    <t>UNI-3/4"</t>
  </si>
  <si>
    <t>UNI-1"</t>
  </si>
  <si>
    <t>UNI-1-1/2"</t>
  </si>
  <si>
    <t>VAL-ESF 1/2"</t>
  </si>
  <si>
    <t>valvula esferica</t>
  </si>
  <si>
    <t>VAL-ESF 3/4"</t>
  </si>
  <si>
    <t>VAL-ESF 1"</t>
  </si>
  <si>
    <t>AEL204</t>
  </si>
  <si>
    <t>VAL-RET 3/4"</t>
  </si>
  <si>
    <t>valvula retencion</t>
  </si>
  <si>
    <t>VAL-RET-1"</t>
  </si>
  <si>
    <t>NIP- 1/2"</t>
  </si>
  <si>
    <t>niple de 1/2"x20mm</t>
  </si>
  <si>
    <t>FLEX- 1/2" 35cm M</t>
  </si>
  <si>
    <t>Flexible 1/2 para pileta</t>
  </si>
  <si>
    <t>ELEMENTOS PLASTICOS</t>
  </si>
  <si>
    <t>TAP-1/2"</t>
  </si>
  <si>
    <t>TAP-1-1/4"</t>
  </si>
  <si>
    <t>tapa hembra</t>
  </si>
  <si>
    <t>ENT- 1/2"</t>
  </si>
  <si>
    <t>ENT- 3/4"</t>
  </si>
  <si>
    <t>ENT-1"</t>
  </si>
  <si>
    <t>CUP1"</t>
  </si>
  <si>
    <t>CUP-1-1/4"</t>
  </si>
  <si>
    <t>COD-1/2"</t>
  </si>
  <si>
    <t>COD-3/4"</t>
  </si>
  <si>
    <t>COD-1"</t>
  </si>
  <si>
    <t>COD-1/1/4"</t>
  </si>
  <si>
    <t>CUR-3/4" MH</t>
  </si>
  <si>
    <t>curva macho hembra</t>
  </si>
  <si>
    <t>UNI-T1/2"</t>
  </si>
  <si>
    <t>union T</t>
  </si>
  <si>
    <t>UNI-T3/4"</t>
  </si>
  <si>
    <t>UNI-T1"</t>
  </si>
  <si>
    <t>unionT</t>
  </si>
  <si>
    <t>RED-3/4"A1/2"</t>
  </si>
  <si>
    <t>RED-1"A3/4"</t>
  </si>
  <si>
    <t>RED-1-1/4"A3/4"</t>
  </si>
  <si>
    <t>RED-1-1/4"A1"</t>
  </si>
  <si>
    <t>RED-2"A1"</t>
  </si>
  <si>
    <t>RED-2"A1-1/4"</t>
  </si>
  <si>
    <t>UNI-DOB-1/2"</t>
  </si>
  <si>
    <t>UNI-DOB-3/4"</t>
  </si>
  <si>
    <t>UNI-DOB-1"</t>
  </si>
  <si>
    <t>UNI-DOB-2"</t>
  </si>
  <si>
    <t>UNI-MAN 1/2"</t>
  </si>
  <si>
    <t>union de manguera</t>
  </si>
  <si>
    <t>UNI-MAN 3/4"</t>
  </si>
  <si>
    <t>UNI-MAN 1"</t>
  </si>
  <si>
    <t>union de manguera con rosca</t>
  </si>
  <si>
    <t>PIÑ- ASA40-18D-EJE16</t>
  </si>
  <si>
    <t>caja de mando enbolsadora amf</t>
  </si>
  <si>
    <t>RED-ALFA NMRV63</t>
  </si>
  <si>
    <t>R- 7,5 usado</t>
  </si>
  <si>
    <t>RED-ALFA-NMRV040</t>
  </si>
  <si>
    <t>R-7,5 Usado</t>
  </si>
  <si>
    <t>R-7,5 Nuevo</t>
  </si>
  <si>
    <t>RED-ALFA NMRV040</t>
  </si>
  <si>
    <t>RED-ALFA NMRV063</t>
  </si>
  <si>
    <t>R-60</t>
  </si>
  <si>
    <t>RED-STMWI110</t>
  </si>
  <si>
    <t>R-1/30 (en tapas)</t>
  </si>
  <si>
    <t>Armadora de Grumos</t>
  </si>
  <si>
    <t>RED-RMI 110 S</t>
  </si>
  <si>
    <t>SALIDA HORNO TRACCION RED. 1/100 EJE HUECO 42MM</t>
  </si>
  <si>
    <t>Horno principal TRACCION</t>
  </si>
  <si>
    <t>MOT-TRIF.1400RPM 2HP</t>
  </si>
  <si>
    <t>COR-HORN-SIMPL</t>
  </si>
  <si>
    <t>Coron.Simpl. ASA50/ Z45 Paso 5/8 Eje40 chav.14</t>
  </si>
  <si>
    <t>Traccion Horno</t>
  </si>
  <si>
    <t>COR-HORN-DOBLE</t>
  </si>
  <si>
    <t>Coron.Doble.ASA50/Z57 Paso5/8Eje 50 Chav.14</t>
  </si>
  <si>
    <t>PIÑ-SIMPL- ASA50</t>
  </si>
  <si>
    <t>Piñon.simple.ASA50/Z17 Paso5/8 Eje 40 Chav.14</t>
  </si>
  <si>
    <t>PIÑ-DOBLE-ASA60</t>
  </si>
  <si>
    <t>Piñon.DobleASA60/Z17/Paso 3/4 Eje60 Chav.17</t>
  </si>
  <si>
    <t>COR-DOBLE -ASA60</t>
  </si>
  <si>
    <t>Coron.Doble.ASA60/Z57 Paso3/4Eje 60 Chav.17</t>
  </si>
  <si>
    <t>CUCHA-AMF</t>
  </si>
  <si>
    <t>CUCHARA INF-SUP-AMF EMBOLSADORA</t>
  </si>
  <si>
    <t>enbolsadora amf</t>
  </si>
  <si>
    <t>GUIAS-</t>
  </si>
  <si>
    <t>SALIDA REBANADORA</t>
  </si>
  <si>
    <t>rebanadora amf</t>
  </si>
  <si>
    <t>Vibr-Vibco</t>
  </si>
  <si>
    <t>Vibrador Neumatico Vibco VBS-130</t>
  </si>
  <si>
    <t>Tabla caida ZIG ZAG AMF</t>
  </si>
  <si>
    <t>PISTON- DOBLE NEU</t>
  </si>
  <si>
    <t>DOBLE NEUMAT PARA BANDEJAS DE BOLSAS AMF</t>
  </si>
  <si>
    <t>VAL- SPIRA-SARCO</t>
  </si>
  <si>
    <t>VALVULA AGUJA PARA CALDERA</t>
  </si>
  <si>
    <t>caldera</t>
  </si>
  <si>
    <t>FILTRO REG EW4000</t>
  </si>
  <si>
    <t>filtro regulador AMF bolleria FABRICACION</t>
  </si>
  <si>
    <t>amf bolleria</t>
  </si>
  <si>
    <t>Filtro aire Soplador</t>
  </si>
  <si>
    <t xml:space="preserve">Codigo/Marca WR900 Wega </t>
  </si>
  <si>
    <t>Sopla. Harina</t>
  </si>
  <si>
    <t>BOM-900PBA</t>
  </si>
  <si>
    <t>Bombas para agua</t>
  </si>
  <si>
    <t>BAR-</t>
  </si>
  <si>
    <t>barra de teflon mas dos cuñas</t>
  </si>
  <si>
    <t>EJE- DIF-D</t>
  </si>
  <si>
    <t>1090X50.8</t>
  </si>
  <si>
    <t>EJE- DIF-I</t>
  </si>
  <si>
    <t>1130X50.8</t>
  </si>
  <si>
    <t>EJE-TRAC-CLGA3000</t>
  </si>
  <si>
    <t>diam-100-long-1095</t>
  </si>
  <si>
    <t>tracc-cin-caida-L-GA3000</t>
  </si>
  <si>
    <t>EJE-TRAC-FLGA3000</t>
  </si>
  <si>
    <t>diam-100-long-950</t>
  </si>
  <si>
    <t>tracc.de formador L.GA3000</t>
  </si>
  <si>
    <t>EJE-TRAC-CDLGA3000</t>
  </si>
  <si>
    <t>diam-32-long-575</t>
  </si>
  <si>
    <t>tracc-de cad-divis.L-GA3000</t>
  </si>
  <si>
    <t>EJE-DLGA3000</t>
  </si>
  <si>
    <t>diam-46.5-long-545</t>
  </si>
  <si>
    <t>tracc-de cinta divi-L-GA3000</t>
  </si>
  <si>
    <t>EJE-TEN-TM</t>
  </si>
  <si>
    <t>de rodillo-tensor</t>
  </si>
  <si>
    <t>transporte de masa</t>
  </si>
  <si>
    <t>EJE-RG-TM</t>
  </si>
  <si>
    <t>de rodillo-guia</t>
  </si>
  <si>
    <t>EJE-TRAC-DESC1</t>
  </si>
  <si>
    <t>diam-48 long-560</t>
  </si>
  <si>
    <t>traccion de descansador1</t>
  </si>
  <si>
    <t>EJE-TEN-D1</t>
  </si>
  <si>
    <t>diam-48 long-475</t>
  </si>
  <si>
    <t>tensor descansador 1</t>
  </si>
  <si>
    <t>EJE-BLAT-REB</t>
  </si>
  <si>
    <t>eje para bandas</t>
  </si>
  <si>
    <t>en ban- laterales rebanadora</t>
  </si>
  <si>
    <t>ELEC-V-NEUM</t>
  </si>
  <si>
    <t>24 volt de bobina</t>
  </si>
  <si>
    <t>Imepa y otros</t>
  </si>
  <si>
    <t>FIL-FCD2277</t>
  </si>
  <si>
    <t>filtro de gasoil</t>
  </si>
  <si>
    <t>grupo electrogeno</t>
  </si>
  <si>
    <t>Fibrones de pintura</t>
  </si>
  <si>
    <t>De colores roj.amar.verd.azul.Neg</t>
  </si>
  <si>
    <t>Taller</t>
  </si>
  <si>
    <t>BOM-VAC-PIABE</t>
  </si>
  <si>
    <t>Bomba de vacío piabe</t>
  </si>
  <si>
    <t>Embudo de masa</t>
  </si>
  <si>
    <t>BOM-PCREP</t>
  </si>
  <si>
    <t>Bomba de agua pelton para caldera reparada</t>
  </si>
  <si>
    <t>para caldera</t>
  </si>
  <si>
    <t>EMB- MB</t>
  </si>
  <si>
    <t>embrague camión mercedez benz</t>
  </si>
  <si>
    <t>camion</t>
  </si>
  <si>
    <t>PUEN-</t>
  </si>
  <si>
    <t>Puente -cardan</t>
  </si>
  <si>
    <t>BURR-</t>
  </si>
  <si>
    <t>burro-de arranque</t>
  </si>
  <si>
    <t>ALTER-</t>
  </si>
  <si>
    <t>alternador-corriente</t>
  </si>
  <si>
    <t>INT- EQ-FR</t>
  </si>
  <si>
    <t>intercambiador</t>
  </si>
  <si>
    <t>equipos de frio batea</t>
  </si>
  <si>
    <t>COR- 60-B76</t>
  </si>
  <si>
    <t>corona/76 dientes</t>
  </si>
  <si>
    <t>sistema manual de horno</t>
  </si>
  <si>
    <t>COR-40BTB72</t>
  </si>
  <si>
    <t>corona/72-dientes</t>
  </si>
  <si>
    <t>tracc-enbol-AMF</t>
  </si>
  <si>
    <t>RODI- LAM</t>
  </si>
  <si>
    <t>diam-100-long-610</t>
  </si>
  <si>
    <t>laminador L-GA3000</t>
  </si>
  <si>
    <t>RODI-TRAC-TM</t>
  </si>
  <si>
    <t>diam-100-long-590</t>
  </si>
  <si>
    <t>traccion transp-masa</t>
  </si>
  <si>
    <t>RODI-TRAC-HLGA3000</t>
  </si>
  <si>
    <t>diam-47-long-400</t>
  </si>
  <si>
    <t>traccion harinador-L-GA300</t>
  </si>
  <si>
    <t>RODI-TRAC-ELGA3000</t>
  </si>
  <si>
    <t>diam-48-long-540</t>
  </si>
  <si>
    <t>traccion cintas elev-L-GA3000</t>
  </si>
  <si>
    <t>RODI-TRAC-SLGA3000</t>
  </si>
  <si>
    <t>diam-48.6-long-435</t>
  </si>
  <si>
    <t>cintas separadoras L-GA3000</t>
  </si>
  <si>
    <t>RODI-TEFL1-ELGA3000</t>
  </si>
  <si>
    <t>diam- -long-610</t>
  </si>
  <si>
    <t>rod- tefl-cin-elev-L-GA3000</t>
  </si>
  <si>
    <t>RODI-ELGA3000</t>
  </si>
  <si>
    <t>diam-48-long-465</t>
  </si>
  <si>
    <t>cintas elev- L-GA3000</t>
  </si>
  <si>
    <t>RODI-SLGA3000</t>
  </si>
  <si>
    <t>diam-48.6 long-400</t>
  </si>
  <si>
    <t>RODI-HLGA3000</t>
  </si>
  <si>
    <t>diam-47-long-310</t>
  </si>
  <si>
    <t>harinador L-GA3000</t>
  </si>
  <si>
    <t>RODI-TEFL2-ELGA3000</t>
  </si>
  <si>
    <t>diam- -long-515</t>
  </si>
  <si>
    <t>rodi- tef-cin-elev-L-GA3000</t>
  </si>
  <si>
    <t>CUCH-C/GUI</t>
  </si>
  <si>
    <t>cuchilla con guias</t>
  </si>
  <si>
    <t>cabesal de divisora -L-GA3000</t>
  </si>
  <si>
    <t>VAL- V-SEG3.1</t>
  </si>
  <si>
    <t>val-seg- 3,1kg</t>
  </si>
  <si>
    <t>cuadro de valvula-camara</t>
  </si>
  <si>
    <t>VAL- V-SEG11</t>
  </si>
  <si>
    <t>val-seg-11kg</t>
  </si>
  <si>
    <t>seguridad de la caldera</t>
  </si>
  <si>
    <t>Modelo 4V210-08 de 24DC</t>
  </si>
  <si>
    <t>Camar, varios</t>
  </si>
  <si>
    <t>DES-CHU</t>
  </si>
  <si>
    <t>chupetes- nuevos</t>
  </si>
  <si>
    <t>marrones</t>
  </si>
  <si>
    <t>DES-CHU-Usados</t>
  </si>
  <si>
    <t>chupetes usados</t>
  </si>
  <si>
    <t>cuhupetes del desmoldador</t>
  </si>
  <si>
    <t>DES-RET-Usados</t>
  </si>
  <si>
    <t>soportes usados</t>
  </si>
  <si>
    <t>de chupetes</t>
  </si>
  <si>
    <t>PROD-LAM-LGA</t>
  </si>
  <si>
    <t>PORTA ROD-LAM-</t>
  </si>
  <si>
    <t>laminadores - L-GA3000</t>
  </si>
  <si>
    <t>BAN-T-1</t>
  </si>
  <si>
    <t>340X4080mm</t>
  </si>
  <si>
    <t>transporte masa</t>
  </si>
  <si>
    <t>BAN-T-2</t>
  </si>
  <si>
    <t>340x7430mm</t>
  </si>
  <si>
    <t>BAN-T-3</t>
  </si>
  <si>
    <t>340x4750mm</t>
  </si>
  <si>
    <t>BAN-T-4</t>
  </si>
  <si>
    <t>340x4250mm</t>
  </si>
  <si>
    <t>BAN-DIVIS-</t>
  </si>
  <si>
    <t>230X3890mm</t>
  </si>
  <si>
    <t>BAN-HARIN</t>
  </si>
  <si>
    <t>230X1510mm</t>
  </si>
  <si>
    <t>BAN-ELEV</t>
  </si>
  <si>
    <t>400X2500mm x2</t>
  </si>
  <si>
    <t>elevad- al desca-LGA3000</t>
  </si>
  <si>
    <t>BAN-DES-1</t>
  </si>
  <si>
    <t>400X8010mm</t>
  </si>
  <si>
    <t>descansador 1-L-GA3000</t>
  </si>
  <si>
    <t>BAN-DES-2</t>
  </si>
  <si>
    <t>400X8400mm</t>
  </si>
  <si>
    <t>descansador 2-L-GA3000</t>
  </si>
  <si>
    <t>BAN-FORM</t>
  </si>
  <si>
    <t>800X8050mm</t>
  </si>
  <si>
    <t>formador L-GA3000</t>
  </si>
  <si>
    <t>BAN-CON-T</t>
  </si>
  <si>
    <t>340X2460mm</t>
  </si>
  <si>
    <t>contra marcha L-GA3000</t>
  </si>
  <si>
    <t>BAN-SEP-</t>
  </si>
  <si>
    <t>340X850mm x2</t>
  </si>
  <si>
    <t>separadoras L-GA3000</t>
  </si>
  <si>
    <t>BAN-CAID-</t>
  </si>
  <si>
    <t>890X1700mm</t>
  </si>
  <si>
    <t>caida L-GA3000</t>
  </si>
  <si>
    <t>BAN-TRANF</t>
  </si>
  <si>
    <t>520X670mm</t>
  </si>
  <si>
    <t>de tanferencias del enfriador</t>
  </si>
  <si>
    <t>BAN-EMBO</t>
  </si>
  <si>
    <t>770X3580mm</t>
  </si>
  <si>
    <t>Embollador AMF</t>
  </si>
  <si>
    <t>BAN-CUCH-CHICA</t>
  </si>
  <si>
    <t>530x2350 (Alta Temp.)</t>
  </si>
  <si>
    <t>5-F5/2 E U05N/U0H</t>
  </si>
  <si>
    <t>BAN-CUCH-GRAN</t>
  </si>
  <si>
    <t>530X4870</t>
  </si>
  <si>
    <t>5/F5/2 E U05N+UO</t>
  </si>
  <si>
    <t>BAN-ALIPAK</t>
  </si>
  <si>
    <t>1000X250mm</t>
  </si>
  <si>
    <t>enbasadora alipak</t>
  </si>
  <si>
    <t>BAN-JAKE</t>
  </si>
  <si>
    <t>1090X180mm</t>
  </si>
  <si>
    <t>enbasadora jake</t>
  </si>
  <si>
    <t>BAN-A-ACUM</t>
  </si>
  <si>
    <t>2750X400mm        30mm de tensor</t>
  </si>
  <si>
    <t>salida de jake 7250 al acumulador</t>
  </si>
  <si>
    <t>BAN-DES-PER</t>
  </si>
  <si>
    <t>Banda para desmoldador perforada, falta relevamiento de medidasssss</t>
  </si>
  <si>
    <t>perforada para desmoldador</t>
  </si>
  <si>
    <t>BAN-S12-408</t>
  </si>
  <si>
    <t>400X4000MM</t>
  </si>
  <si>
    <t>entrada a la rebanadora</t>
  </si>
  <si>
    <t>100X1500MM</t>
  </si>
  <si>
    <t xml:space="preserve">BAN- GOMA -Y TELA </t>
  </si>
  <si>
    <t>370X5650mm</t>
  </si>
  <si>
    <t xml:space="preserve">Levanta tapas </t>
  </si>
  <si>
    <t>DSBC-32-</t>
  </si>
  <si>
    <t>50-PPVA-N3</t>
  </si>
  <si>
    <t>Divisora Imepa, TNº2 horno</t>
  </si>
  <si>
    <t>SNCB-32</t>
  </si>
  <si>
    <t>SG-M10x1,25</t>
  </si>
  <si>
    <t>KIT Rep</t>
  </si>
  <si>
    <t>Kit de reparacion</t>
  </si>
  <si>
    <t>Piston SMC AMF</t>
  </si>
  <si>
    <t>PIST-2J3</t>
  </si>
  <si>
    <t>CP96SDB40-25C</t>
  </si>
  <si>
    <t>Paleta caida zigzag AMF</t>
  </si>
  <si>
    <t>PIS-MD8</t>
  </si>
  <si>
    <t>piston</t>
  </si>
  <si>
    <t>Embolsadora de pan</t>
  </si>
  <si>
    <t>Disc-Alipak</t>
  </si>
  <si>
    <t>Discos- Alipak</t>
  </si>
  <si>
    <t>Envasadora Alipak</t>
  </si>
  <si>
    <t>ENC-</t>
  </si>
  <si>
    <t>Encausadores</t>
  </si>
  <si>
    <t>Para bandas de transporte</t>
  </si>
  <si>
    <t>EST-DEN.</t>
  </si>
  <si>
    <t>estrella dentada</t>
  </si>
  <si>
    <t>para estivador L.GA3000</t>
  </si>
  <si>
    <t>BAN-MOD-PIÑ</t>
  </si>
  <si>
    <t>plasticos</t>
  </si>
  <si>
    <t>para bandas modulantes</t>
  </si>
  <si>
    <t>ROC-PIÑ</t>
  </si>
  <si>
    <t>paso 60-eje 20mm</t>
  </si>
  <si>
    <t>piñones eran de la roceadora</t>
  </si>
  <si>
    <t>RUE-CBOLL</t>
  </si>
  <si>
    <t>40x100</t>
  </si>
  <si>
    <t>en carros bolleria</t>
  </si>
  <si>
    <t>RUE-ZTAP</t>
  </si>
  <si>
    <t>para sorras de tapas</t>
  </si>
  <si>
    <t>HOR-CBOLL</t>
  </si>
  <si>
    <t>Horquillas para carros boll-</t>
  </si>
  <si>
    <t>HOR-ZTAP</t>
  </si>
  <si>
    <t>COMP-SULL-MANG</t>
  </si>
  <si>
    <t>manguera alta pre-</t>
  </si>
  <si>
    <t>compresor sullair</t>
  </si>
  <si>
    <t>ENF-SOP-SENSOR</t>
  </si>
  <si>
    <t>soporte para sensor</t>
  </si>
  <si>
    <t>SEN-IND-NPN</t>
  </si>
  <si>
    <t>(ROURCK) SN04-N</t>
  </si>
  <si>
    <t>SEGURIDADES</t>
  </si>
  <si>
    <t>5 a30V</t>
  </si>
  <si>
    <t>NPN</t>
  </si>
  <si>
    <t>SEN-OPT-PNP</t>
  </si>
  <si>
    <t>Sensor Fotoelectrico E3FDS100P1</t>
  </si>
  <si>
    <t>Embudos Masa</t>
  </si>
  <si>
    <t>DC 12-24V</t>
  </si>
  <si>
    <t>PNP</t>
  </si>
  <si>
    <t>REC- 1/8X4</t>
  </si>
  <si>
    <t>recto</t>
  </si>
  <si>
    <t>REC1/4X6</t>
  </si>
  <si>
    <t>COD-1/8X4</t>
  </si>
  <si>
    <t>COD-1/4X6</t>
  </si>
  <si>
    <t>codo con regulador</t>
  </si>
  <si>
    <t>AER-ATR</t>
  </si>
  <si>
    <t>Aerosol rojo de alta temperatura</t>
  </si>
  <si>
    <t>AER-ATV</t>
  </si>
  <si>
    <t>Aerosol verde de alta temperatura</t>
  </si>
  <si>
    <t>AER-ATAl</t>
  </si>
  <si>
    <t>Aerosol aluminio de alta temperatura</t>
  </si>
  <si>
    <t>AER-Bsc</t>
  </si>
  <si>
    <t>Aerosol blanco común, secado rápido</t>
  </si>
  <si>
    <t>AER-N</t>
  </si>
  <si>
    <t>Aerosol negro común</t>
  </si>
  <si>
    <t>AER-N-ATEMP</t>
  </si>
  <si>
    <t>Aerosol negro alta temp-</t>
  </si>
  <si>
    <t>HER-M1.5</t>
  </si>
  <si>
    <t>maza de 1.5 kl</t>
  </si>
  <si>
    <t>HER-AGU13</t>
  </si>
  <si>
    <t>Agujereadora eléctrica 13mm</t>
  </si>
  <si>
    <t>HER-AGB13</t>
  </si>
  <si>
    <t>Agujereadora a batería 13mm</t>
  </si>
  <si>
    <t>HER-AMB115</t>
  </si>
  <si>
    <t>Amoladora a batería 115mm</t>
  </si>
  <si>
    <t>HER-LLF11</t>
  </si>
  <si>
    <t>Llave fija boca, estriada 11mm</t>
  </si>
  <si>
    <t>HER-LLF10</t>
  </si>
  <si>
    <t>Llave fija boca, estriada 10mm</t>
  </si>
  <si>
    <t>HER-LLR4</t>
  </si>
  <si>
    <t>Llave regulable de 4" (francesa)</t>
  </si>
  <si>
    <t>HER-LLTL</t>
  </si>
  <si>
    <t>Llaves tipo torx largas juego de 10 piezas</t>
  </si>
  <si>
    <t>HER-MULT</t>
  </si>
  <si>
    <t>Multímetro digital proskit mt1232</t>
  </si>
  <si>
    <t>r</t>
  </si>
  <si>
    <t>HER-AMP</t>
  </si>
  <si>
    <t>Pinza amperométrica clamp</t>
  </si>
  <si>
    <t>HER- PU180</t>
  </si>
  <si>
    <t>Pinza universal bahco 180mm 2678g</t>
  </si>
  <si>
    <t>HER-PPMC160</t>
  </si>
  <si>
    <t>Pinza de punta media caña 160mm 2470g</t>
  </si>
  <si>
    <t>HER-ACO160</t>
  </si>
  <si>
    <t>Alicarte corte oblicuo 160mm</t>
  </si>
  <si>
    <t>HER-MPM3/12</t>
  </si>
  <si>
    <t>Manija porta macho de 3 a 12mm</t>
  </si>
  <si>
    <t>HER-AM115</t>
  </si>
  <si>
    <t>Amoladora de 115mm</t>
  </si>
  <si>
    <t>HER-DEST-golpe</t>
  </si>
  <si>
    <t>Destornillador X6 Para Golpe Bahco</t>
  </si>
  <si>
    <t>HER-DEST-AIS</t>
  </si>
  <si>
    <t>juego de destornilladores preaislados</t>
  </si>
  <si>
    <t>HER-DEST-mecánico</t>
  </si>
  <si>
    <t>Juego de destornilladores bremen</t>
  </si>
  <si>
    <t>HER-M GOMA</t>
  </si>
  <si>
    <t>maza de goma</t>
  </si>
  <si>
    <t>HER-REM</t>
  </si>
  <si>
    <t>Remachadora manual</t>
  </si>
  <si>
    <t>HER-REM NEU</t>
  </si>
  <si>
    <t>Remachadora neumatica</t>
  </si>
  <si>
    <t>HER-LIMA-PLANA</t>
  </si>
  <si>
    <t>Lima plana</t>
  </si>
  <si>
    <t>FER-TIJG</t>
  </si>
  <si>
    <t>Tijera de corte grande</t>
  </si>
  <si>
    <t>HER-CINT-3MT</t>
  </si>
  <si>
    <t>Cinta metrica 3mts</t>
  </si>
  <si>
    <t>HER-ALEM-MM</t>
  </si>
  <si>
    <t>Juego llaves alem milimetricas</t>
  </si>
  <si>
    <t>HER-ALEM-PU</t>
  </si>
  <si>
    <t>Juego laves alem pulgadas</t>
  </si>
  <si>
    <t>MECH-AR1</t>
  </si>
  <si>
    <t>Mecha acero rapido 1mm</t>
  </si>
  <si>
    <t>MECH-AR1,25</t>
  </si>
  <si>
    <t>Mecha acero rapido 1,25mm</t>
  </si>
  <si>
    <t>MECH-AR1,5</t>
  </si>
  <si>
    <t>Mecha acero rapido 1,5mm</t>
  </si>
  <si>
    <t>MECH-AR1,75</t>
  </si>
  <si>
    <t>Mecha acero rapido 1,75mm</t>
  </si>
  <si>
    <t>MECH-AR2</t>
  </si>
  <si>
    <t>Mecha acero rapido 2mm</t>
  </si>
  <si>
    <t>MECH-AR2,25</t>
  </si>
  <si>
    <t>Mecha acero rapido 2.25mm</t>
  </si>
  <si>
    <t>MECH-AR-2,5</t>
  </si>
  <si>
    <t>Mecha acero rapido 2.5mm</t>
  </si>
  <si>
    <t>MECH-AR-2.75</t>
  </si>
  <si>
    <t>Mecha acero rapido 2.75mm</t>
  </si>
  <si>
    <t>MECH-AR3</t>
  </si>
  <si>
    <t>Mecha acero rapido 3mm</t>
  </si>
  <si>
    <t>MECH-AR-3.25</t>
  </si>
  <si>
    <t>Mecha acero rapido 3.25mm</t>
  </si>
  <si>
    <t>MECH-AR-3.5</t>
  </si>
  <si>
    <t>Mecha acero rapido 3.5mm</t>
  </si>
  <si>
    <t>MECH-AR-3,75</t>
  </si>
  <si>
    <t>Mecha acero rapido 3.75mm</t>
  </si>
  <si>
    <t>MECH-AR-4</t>
  </si>
  <si>
    <t>Mecha acero rapido  4mm</t>
  </si>
  <si>
    <t>MECH-AR-4.25</t>
  </si>
  <si>
    <t>Mecha acero rapido  4.25mm</t>
  </si>
  <si>
    <t>MECH-AR-4.50</t>
  </si>
  <si>
    <t xml:space="preserve">Mecha acero rapido 4.50mm </t>
  </si>
  <si>
    <t>MECH-AR-4.75</t>
  </si>
  <si>
    <t>Mecha acero rapido  4.75mm</t>
  </si>
  <si>
    <t>MECH-AR-5</t>
  </si>
  <si>
    <t>Mecha acero rapido 5mm</t>
  </si>
  <si>
    <t>MECH-AR-5,25</t>
  </si>
  <si>
    <t>Mecha acero rapido 5.25mm</t>
  </si>
  <si>
    <t>MECH-AR-5,5</t>
  </si>
  <si>
    <t>Mecha acero rapido 5.5mm</t>
  </si>
  <si>
    <t>MECH-AR-5.75</t>
  </si>
  <si>
    <t>Mecha acero rapido 5.75mm</t>
  </si>
  <si>
    <t>MECH-AR-6</t>
  </si>
  <si>
    <t>Mecha acero rapido 6mm</t>
  </si>
  <si>
    <t>MECH-AR-6.25</t>
  </si>
  <si>
    <t>Mecha acero rapido  6.25mm</t>
  </si>
  <si>
    <t>MECH-AR-6.50</t>
  </si>
  <si>
    <t>Mecha acero rapido 6.50mm</t>
  </si>
  <si>
    <t>MECH-AR-6.75</t>
  </si>
  <si>
    <t>Mecha acero rapido 6.75mm</t>
  </si>
  <si>
    <t>MECH-AR-7</t>
  </si>
  <si>
    <t>Mecha acero rapido 7mm</t>
  </si>
  <si>
    <t>MECH-AR-7.25</t>
  </si>
  <si>
    <t>Mecha acero rapido  7.25mm</t>
  </si>
  <si>
    <t>MECH-AR-7,50</t>
  </si>
  <si>
    <t>Mecha acero rapido 7.50mm</t>
  </si>
  <si>
    <t>MECH-AR-7,75</t>
  </si>
  <si>
    <t>Mecha acero rapido 7.75mm</t>
  </si>
  <si>
    <t>MECH-AR-8</t>
  </si>
  <si>
    <t>Mecha acero rapido 8mm</t>
  </si>
  <si>
    <t>MECH-8.25</t>
  </si>
  <si>
    <t>Mecha acero rapido  8.25mm</t>
  </si>
  <si>
    <t>MECH-8.50</t>
  </si>
  <si>
    <t>Mecha acero rapido  8.50mm</t>
  </si>
  <si>
    <t>MECH-8.75</t>
  </si>
  <si>
    <t>Mecha acero rapido  8.75mm</t>
  </si>
  <si>
    <t>MECH-9.</t>
  </si>
  <si>
    <t>Mecha acero rapido 9mm</t>
  </si>
  <si>
    <t>MECH-AR-9.25</t>
  </si>
  <si>
    <t>Mecha acero rapido 9.25mm</t>
  </si>
  <si>
    <t>MECH-AR-9.50</t>
  </si>
  <si>
    <t>Mecha acero rapido 9.50mm</t>
  </si>
  <si>
    <t>MECH-AR-9.75</t>
  </si>
  <si>
    <t>Mecha acero rapido 9.75mm</t>
  </si>
  <si>
    <t>MECH-AR-10</t>
  </si>
  <si>
    <t>Mecha acero rapido 10mm</t>
  </si>
  <si>
    <t>MECH-AR-10.5</t>
  </si>
  <si>
    <t>Mecha acero rapido 10.5mm</t>
  </si>
  <si>
    <t>MECH-AR-11</t>
  </si>
  <si>
    <t>Mecha acero rapido 11mm</t>
  </si>
  <si>
    <t>MECH-AR-11.5</t>
  </si>
  <si>
    <t>Mecha acero rapido 11.5mm</t>
  </si>
  <si>
    <t xml:space="preserve">MECH-AR-12 </t>
  </si>
  <si>
    <t>Mecha acero rapido 12mm</t>
  </si>
  <si>
    <t>MECH-AR-12,5</t>
  </si>
  <si>
    <t>Mecha acero rapido 12,5mm</t>
  </si>
  <si>
    <t>MECH-AR-13</t>
  </si>
  <si>
    <t>Mecha acero rapido 13mm</t>
  </si>
  <si>
    <t>HER-TUB</t>
  </si>
  <si>
    <t>Juegos de llaves tubo</t>
  </si>
  <si>
    <t>FER-CINT-TEF 3/4</t>
  </si>
  <si>
    <t>Cinta de teflon- Lata densidad 3/4"</t>
  </si>
  <si>
    <t>guardadas en archivero</t>
  </si>
  <si>
    <t>FER-SELL-AT</t>
  </si>
  <si>
    <t>Fastix alta temperatura</t>
  </si>
  <si>
    <t>guardados en archivero</t>
  </si>
  <si>
    <t>FER-SELL-TRANS</t>
  </si>
  <si>
    <t>sellador trsparente</t>
  </si>
  <si>
    <t>FER-SELL-ZING</t>
  </si>
  <si>
    <t>Suprabond zingueria y canaletas</t>
  </si>
  <si>
    <t>FER-ADHE</t>
  </si>
  <si>
    <t>Suprabond adesivo instantaneo</t>
  </si>
  <si>
    <t>AER-LU-W40/MEC50</t>
  </si>
  <si>
    <t>Aeorosol wd-40 / Aerosol Mechanik 50</t>
  </si>
  <si>
    <t>HER-PUN</t>
  </si>
  <si>
    <t>Juego de punzones</t>
  </si>
  <si>
    <t>HER-MART-BOL</t>
  </si>
  <si>
    <t>Martillo bolita</t>
  </si>
  <si>
    <t>HER-MART-CARP</t>
  </si>
  <si>
    <t>Martillo carpintero</t>
  </si>
  <si>
    <t>HER-LLAV-3/8</t>
  </si>
  <si>
    <t>Llave 3/8 "</t>
  </si>
  <si>
    <t>HER-LLAV-7/16</t>
  </si>
  <si>
    <t>Llave 7/16"</t>
  </si>
  <si>
    <t>HER-LLAV-1/2</t>
  </si>
  <si>
    <t>Llave 1/2"</t>
  </si>
  <si>
    <t>HER-LLAV-5/8</t>
  </si>
  <si>
    <t>Llave 5/8"</t>
  </si>
  <si>
    <t>HER-LLAV-3/4</t>
  </si>
  <si>
    <t>Llave 3/4"</t>
  </si>
  <si>
    <t>HER-LLAV-CRI10</t>
  </si>
  <si>
    <t>Llave combinada crique 10mm</t>
  </si>
  <si>
    <t>HER-LLAV-CRI17</t>
  </si>
  <si>
    <t>Llave combinada crique 17mm</t>
  </si>
  <si>
    <t>HER-pic-lo</t>
  </si>
  <si>
    <t>Pinza pico de loro bahco</t>
  </si>
  <si>
    <t>HER-PIN-CZEG-REC9"</t>
  </si>
  <si>
    <t>pinza cerrar seguer punta recta</t>
  </si>
  <si>
    <t>COD-5074</t>
  </si>
  <si>
    <t>HER-PIN-AZEG-REC9"</t>
  </si>
  <si>
    <t>Pinza abre seguer punta recta</t>
  </si>
  <si>
    <t>HER-PIN-CZEG-REC4"</t>
  </si>
  <si>
    <t>Pinza cierra seguer punta recta</t>
  </si>
  <si>
    <t>HER-PIN-AZEG-CUR4"</t>
  </si>
  <si>
    <t>Pinza abrir seguer punta curva</t>
  </si>
  <si>
    <t>COD-5073</t>
  </si>
  <si>
    <t>HER-PIN-AZEG-CUR7"</t>
  </si>
  <si>
    <t>Pinza abrir seger curva (7")</t>
  </si>
  <si>
    <t>COD-3307</t>
  </si>
  <si>
    <t>HER-PIN-AZEG-REC7"</t>
  </si>
  <si>
    <t>Pinza abrir seger recta (7")</t>
  </si>
  <si>
    <t>COD-3308</t>
  </si>
  <si>
    <t>HER-PIN-CZEG-CUR7"</t>
  </si>
  <si>
    <t>Pinza cerrar seger curva (7")</t>
  </si>
  <si>
    <t>COD-3309</t>
  </si>
  <si>
    <t>HER-PIN-CZEG-REC7"</t>
  </si>
  <si>
    <t>Pinza cerrar seger recta (7")</t>
  </si>
  <si>
    <t>COD-3310</t>
  </si>
  <si>
    <t>HER-PIN</t>
  </si>
  <si>
    <t>Pinza cierra seguer punta curva</t>
  </si>
  <si>
    <t>HER-5076</t>
  </si>
  <si>
    <t>pinza seger 9" abrir recta</t>
  </si>
  <si>
    <t>HER- 5078</t>
  </si>
  <si>
    <t>pinza seger 9" cerrar recta</t>
  </si>
  <si>
    <t>HER-EST-1"</t>
  </si>
  <si>
    <t>Llave estilson 1"</t>
  </si>
  <si>
    <t>HER-EST-2"</t>
  </si>
  <si>
    <t>Llave estilson 2"</t>
  </si>
  <si>
    <t>HER-EST-144</t>
  </si>
  <si>
    <t>Llave estilson 144</t>
  </si>
  <si>
    <t>HER-EST-142</t>
  </si>
  <si>
    <t>Llave estilson 142 HD BAHCO</t>
  </si>
  <si>
    <t>HER-DIS-DESB4.5</t>
  </si>
  <si>
    <t>Disco abrasivi para desbaste</t>
  </si>
  <si>
    <t>HER-DIS-FLAP-4.5-40</t>
  </si>
  <si>
    <t>discos flap 40</t>
  </si>
  <si>
    <t>HER-DIS-FLAP-4.5-60</t>
  </si>
  <si>
    <t>discos flap 60</t>
  </si>
  <si>
    <t>HER-DIS-FLAP-4.5-120</t>
  </si>
  <si>
    <t>discos flap 120</t>
  </si>
  <si>
    <t>HER-DIS-COR-4.5</t>
  </si>
  <si>
    <t>Disco de corte</t>
  </si>
  <si>
    <t>FER-CIN-DF</t>
  </si>
  <si>
    <t>Cinta doble fast</t>
  </si>
  <si>
    <t>FER-LIJ-60</t>
  </si>
  <si>
    <t>Papel lija 60</t>
  </si>
  <si>
    <t>FER-ESM-60</t>
  </si>
  <si>
    <t>Tela esmeril para metales 60</t>
  </si>
  <si>
    <t>FER-ESM-80</t>
  </si>
  <si>
    <t>Tela esmeril para metales 80</t>
  </si>
  <si>
    <t>FER-ESM-120</t>
  </si>
  <si>
    <t>Tela esmeril para metales 120</t>
  </si>
  <si>
    <t>FER-ESM-180</t>
  </si>
  <si>
    <t>tela esmeril para metales 180</t>
  </si>
  <si>
    <t>FER-ESM-220</t>
  </si>
  <si>
    <t>Tela esmeril para metales 220</t>
  </si>
  <si>
    <t>HER-CEP-ALB</t>
  </si>
  <si>
    <t>Cepillo de acero alambre bronceado</t>
  </si>
  <si>
    <t>guardado en archivero</t>
  </si>
  <si>
    <t>HER-CEP-ACM</t>
  </si>
  <si>
    <t>Cepillo de acero mini</t>
  </si>
  <si>
    <t>HER-CUT-PRO</t>
  </si>
  <si>
    <t>Cutter profesional</t>
  </si>
  <si>
    <t>HER-LLV-T7</t>
  </si>
  <si>
    <t>Llave T 7mm</t>
  </si>
  <si>
    <t>HER-LLV-T8</t>
  </si>
  <si>
    <t>Llave T 8mm</t>
  </si>
  <si>
    <t>HER-LLV-T10</t>
  </si>
  <si>
    <t>Llave T 10mm</t>
  </si>
  <si>
    <t>HER-LLV-T11</t>
  </si>
  <si>
    <t>Llave T 11mm</t>
  </si>
  <si>
    <t>HER-LLV-T13</t>
  </si>
  <si>
    <t>Llave T 13mm</t>
  </si>
  <si>
    <t>HER-LLV-T1/2</t>
  </si>
  <si>
    <t>Llave T 1/2mm</t>
  </si>
  <si>
    <t>HER-SOND-MM</t>
  </si>
  <si>
    <t>Sondas milimetricas</t>
  </si>
  <si>
    <t>HER-PIN-PRE-CUR</t>
  </si>
  <si>
    <t>Pinza de presion perro curva</t>
  </si>
  <si>
    <t xml:space="preserve">HER-PIN-PRE-C </t>
  </si>
  <si>
    <t>Pinza de precion tipo C soldador</t>
  </si>
  <si>
    <t>FER-CINT-AIS-N</t>
  </si>
  <si>
    <t>cinta aisladora negra rollo grande</t>
  </si>
  <si>
    <t>guardados en oficina</t>
  </si>
  <si>
    <t>FER-CINT-PAP-AN</t>
  </si>
  <si>
    <t>rollo ancho</t>
  </si>
  <si>
    <t>FER-CINT-EMP-AN</t>
  </si>
  <si>
    <t>PIL-AA1</t>
  </si>
  <si>
    <t>pilas doble A</t>
  </si>
  <si>
    <t>PIL-AAA</t>
  </si>
  <si>
    <t>pilas triple A</t>
  </si>
  <si>
    <t>PIL- 9V1</t>
  </si>
  <si>
    <t>pila de 9v</t>
  </si>
  <si>
    <t>PIL-CR2032</t>
  </si>
  <si>
    <t>pilas cr2032 -3v</t>
  </si>
  <si>
    <t>careta de soldar</t>
  </si>
  <si>
    <t>PIL-CR1220</t>
  </si>
  <si>
    <t>pilas cr1220 -3v</t>
  </si>
  <si>
    <t>PIL-A76</t>
  </si>
  <si>
    <t>pilas a76</t>
  </si>
  <si>
    <t>en termometros</t>
  </si>
  <si>
    <t>FER-PREC-100-2.5</t>
  </si>
  <si>
    <t>precintos de 100/2.5</t>
  </si>
  <si>
    <t>FER-PREC-150-3.6</t>
  </si>
  <si>
    <t>precintos de 150x3.6</t>
  </si>
  <si>
    <t>FER-PREC-180-3.2</t>
  </si>
  <si>
    <t>precintos de 180/3,2</t>
  </si>
  <si>
    <t>FER-PREC-200-4.6</t>
  </si>
  <si>
    <t>precintos de 200x4,6</t>
  </si>
  <si>
    <t>FER-PREC-290-4.8</t>
  </si>
  <si>
    <t>precintos de 290x4,8</t>
  </si>
  <si>
    <t>FER-PREC-300-4.8</t>
  </si>
  <si>
    <t>precintos de 300/4,8</t>
  </si>
  <si>
    <t>FER-PREC-370-4.8</t>
  </si>
  <si>
    <t>precintos de 370/4,8</t>
  </si>
  <si>
    <t>FER-PREC-250-4.8</t>
  </si>
  <si>
    <t>precintos de 250/ 4,8</t>
  </si>
  <si>
    <t>FER-RES-CUTTER-L</t>
  </si>
  <si>
    <t>largos</t>
  </si>
  <si>
    <t>Cinta persiana</t>
  </si>
  <si>
    <t>puntas p. sold</t>
  </si>
  <si>
    <t>Cinta p/ persiana plastica</t>
  </si>
  <si>
    <t>guardado en el archivero</t>
  </si>
  <si>
    <t>ADE- A-100</t>
  </si>
  <si>
    <t>adhesivo instantaneo suprabond</t>
  </si>
  <si>
    <t>SUP-SUP-ACERO</t>
  </si>
  <si>
    <t>superpox acero</t>
  </si>
  <si>
    <t>LLAV-3388</t>
  </si>
  <si>
    <t>grande</t>
  </si>
  <si>
    <t>HER.ESPATULA</t>
  </si>
  <si>
    <t>espatula n°1</t>
  </si>
  <si>
    <t>guardadas en el archivero</t>
  </si>
  <si>
    <t>FILT-CAS-301SP</t>
  </si>
  <si>
    <t>Casiba 301 SP (filtro de aire intermedio)</t>
  </si>
  <si>
    <t>guardados en la casita</t>
  </si>
  <si>
    <t>FUE-SWITCHING</t>
  </si>
  <si>
    <t>Fuente Switching 60W/5A/12V R.Din</t>
  </si>
  <si>
    <t>FILT-CAS-PC-8</t>
  </si>
  <si>
    <t>Casiba PC-8 (filtro de aire final)</t>
  </si>
  <si>
    <t>SIE-REB-AMF</t>
  </si>
  <si>
    <t>Sierras de rebanadora (por juego)</t>
  </si>
  <si>
    <t>guardados en la oficina</t>
  </si>
  <si>
    <t>PIN-PROF-</t>
  </si>
  <si>
    <t>pincel profecional 15mm</t>
  </si>
  <si>
    <t>PIN-PINCEL</t>
  </si>
  <si>
    <t>Pinceles profecional  Nº7</t>
  </si>
  <si>
    <t>guardadas en oficina</t>
  </si>
  <si>
    <t>HER-MART-GOM</t>
  </si>
  <si>
    <t>Martillo goma y plastico</t>
  </si>
  <si>
    <t>ENV-ST-MTRES</t>
  </si>
  <si>
    <t>Resistencias traversales</t>
  </si>
  <si>
    <t>JAKE</t>
  </si>
  <si>
    <t>ENV-ST-DRES</t>
  </si>
  <si>
    <t>Tapa discos celladores</t>
  </si>
  <si>
    <t>RES-ENCODER</t>
  </si>
  <si>
    <t>Acoples de encoder</t>
  </si>
  <si>
    <t>CAB-TPR-3X2.5</t>
  </si>
  <si>
    <t>3x2,5mm tipo taller</t>
  </si>
  <si>
    <t>CAB-TPR-2X1.5</t>
  </si>
  <si>
    <t>2x1,5mm tipo taller</t>
  </si>
  <si>
    <t>CAB-TPR-5X2.5</t>
  </si>
  <si>
    <t>5x2,5mm tipo taller</t>
  </si>
  <si>
    <t>CAB-TPR-5X4</t>
  </si>
  <si>
    <t>5x4mm tipo taller</t>
  </si>
  <si>
    <t>CAM-RET-P</t>
  </si>
  <si>
    <t>retenedor de puertas de camion</t>
  </si>
  <si>
    <t>RET-</t>
  </si>
  <si>
    <t xml:space="preserve">retenedor de puertas </t>
  </si>
  <si>
    <t>en los camiones</t>
  </si>
  <si>
    <t>FER-LENT-MS</t>
  </si>
  <si>
    <t xml:space="preserve">protector transparente </t>
  </si>
  <si>
    <t>para careta de soldar</t>
  </si>
  <si>
    <t>SOL-220V-11WT</t>
  </si>
  <si>
    <t>MH18C406B</t>
  </si>
  <si>
    <t>QUEMADOR HORNO</t>
  </si>
  <si>
    <t>REP-EV-HOR</t>
  </si>
  <si>
    <t>KIT DE REP-K030A1</t>
  </si>
  <si>
    <t>REP-EVS-HOR</t>
  </si>
  <si>
    <t>VAL-SEGURID-1.5</t>
  </si>
  <si>
    <t>CUADRO DE VAL-CAMARA</t>
  </si>
  <si>
    <t>VAL-SEGUR13</t>
  </si>
  <si>
    <t>val-segur-13kg./cm</t>
  </si>
  <si>
    <t>pulmon de compresores</t>
  </si>
  <si>
    <t>VAL-SEGUR9,5</t>
  </si>
  <si>
    <t>val-segur-9.5kg./cm</t>
  </si>
  <si>
    <t>pulmon- aire- comp-tapas</t>
  </si>
  <si>
    <t>VAL-SEGUR11</t>
  </si>
  <si>
    <t>val-segur 11kg</t>
  </si>
  <si>
    <t>para la caldera</t>
  </si>
  <si>
    <t>VAL- ESFER3/4</t>
  </si>
  <si>
    <t>VAL-ESFERICA-3/4</t>
  </si>
  <si>
    <t>CALDERA</t>
  </si>
  <si>
    <t>VAL-TERMO</t>
  </si>
  <si>
    <t>TERMODINAMICA</t>
  </si>
  <si>
    <t>ACO-T3/4</t>
  </si>
  <si>
    <t>ACOPLE-T 3/4</t>
  </si>
  <si>
    <t>PARA ALTA PRECION</t>
  </si>
  <si>
    <t>RED-1A3/4</t>
  </si>
  <si>
    <t>DE 1" A 3/4</t>
  </si>
  <si>
    <t>PRE-PARX0008</t>
  </si>
  <si>
    <t>250/125VCA-3A</t>
  </si>
  <si>
    <t>PARAS QUEMADORES</t>
  </si>
  <si>
    <t>PRE-060-121766</t>
  </si>
  <si>
    <t>DC13=12W.220V</t>
  </si>
  <si>
    <t>PARA CALDERA</t>
  </si>
  <si>
    <t>PRE-PG010050</t>
  </si>
  <si>
    <t>PARA GAS DEL HORNO</t>
  </si>
  <si>
    <t>SEN-Atadora</t>
  </si>
  <si>
    <t>Sensor M8 inductivo rasante 1mm deteccion</t>
  </si>
  <si>
    <t>Atadora</t>
  </si>
  <si>
    <t>SEN-LLAMA</t>
  </si>
  <si>
    <t>SENSOR DE LLAMA</t>
  </si>
  <si>
    <t>PARA QUEMADORES</t>
  </si>
  <si>
    <t>DIF-USTOR</t>
  </si>
  <si>
    <t>Difusor Gas Ustor completo con electrodos</t>
  </si>
  <si>
    <t>HORNO</t>
  </si>
  <si>
    <t>Dif compl modelo GP 3M</t>
  </si>
  <si>
    <t>SEN-CHIS</t>
  </si>
  <si>
    <t>SENSOR DE CHISPA</t>
  </si>
  <si>
    <t>PARA QUEMDORES</t>
  </si>
  <si>
    <t>CAP- 4UF</t>
  </si>
  <si>
    <t>capacitor</t>
  </si>
  <si>
    <t>CAP -5UF</t>
  </si>
  <si>
    <t>CAP-8UF</t>
  </si>
  <si>
    <t>CAP-10UF</t>
  </si>
  <si>
    <t>CAP-25UF</t>
  </si>
  <si>
    <t>en bomba agua de tapas</t>
  </si>
  <si>
    <t>CONT-18001352</t>
  </si>
  <si>
    <t>Controlador Brahma 220v-50Hz-6.5va</t>
  </si>
  <si>
    <t>Para quemadores</t>
  </si>
  <si>
    <t>CONT-HONEYWELL</t>
  </si>
  <si>
    <t>Controlador Honeywell DKG 972-N</t>
  </si>
  <si>
    <t>CONT-RESIDEO</t>
  </si>
  <si>
    <t>Controlador Resideo DKG 972-N Mod.03</t>
  </si>
  <si>
    <t>CONT-220VA4K</t>
  </si>
  <si>
    <t>CONT-220VA11K</t>
  </si>
  <si>
    <t>CONT-24VA11K</t>
  </si>
  <si>
    <t>VAR-DELTA</t>
  </si>
  <si>
    <t>Variador Delta de rodillos ST programado</t>
  </si>
  <si>
    <t>Envasadoras ST</t>
  </si>
  <si>
    <t>En vitrina atadora</t>
  </si>
  <si>
    <t>INT-ME-8108</t>
  </si>
  <si>
    <t>interrup-posicion</t>
  </si>
  <si>
    <t>amazadora y plataforma</t>
  </si>
  <si>
    <t>INT-ME-8104</t>
  </si>
  <si>
    <t>INT-RME8111</t>
  </si>
  <si>
    <t>amazadora</t>
  </si>
  <si>
    <t>SEN-E3JK-R4</t>
  </si>
  <si>
    <t>SENSOR fotoelectrico</t>
  </si>
  <si>
    <t>entrada al desmoldador</t>
  </si>
  <si>
    <t>TRA-100W</t>
  </si>
  <si>
    <t>trafo-220-110volt.</t>
  </si>
  <si>
    <t>camara fermentadora y varios</t>
  </si>
  <si>
    <t>TRA- 50W</t>
  </si>
  <si>
    <t>tranformador d 220v a 24v</t>
  </si>
  <si>
    <t>para bomba agua de tapas</t>
  </si>
  <si>
    <t>TRA-220V-DINAVOX</t>
  </si>
  <si>
    <t>sec1x8kv 20a 11kv tranformador de encendido Mod.8000</t>
  </si>
  <si>
    <t>TER-BIP-C10</t>
  </si>
  <si>
    <t>termica bipolar</t>
  </si>
  <si>
    <t>varios</t>
  </si>
  <si>
    <t>TER-BIP-C6</t>
  </si>
  <si>
    <t>termicas bipolar</t>
  </si>
  <si>
    <t>TER-C6</t>
  </si>
  <si>
    <t>termica unipolar</t>
  </si>
  <si>
    <t>TER-230V-C10</t>
  </si>
  <si>
    <t>termica 230v-C10 -P32</t>
  </si>
  <si>
    <t>TER-230-400C10</t>
  </si>
  <si>
    <t>llave termica trifasica con neutro</t>
  </si>
  <si>
    <t>TER-400V-C25</t>
  </si>
  <si>
    <t>TER-400VC40</t>
  </si>
  <si>
    <t>llave termica trifasica</t>
  </si>
  <si>
    <t>TER-400V-C50</t>
  </si>
  <si>
    <t>TAP-CHICAS</t>
  </si>
  <si>
    <t>tapas octogonal chica</t>
  </si>
  <si>
    <t>REL-753-36</t>
  </si>
  <si>
    <t>relevo termico de 28 a 36</t>
  </si>
  <si>
    <t>REL-SIEMENS</t>
  </si>
  <si>
    <t>relevo termico de 28 a 40</t>
  </si>
  <si>
    <t>REL-ABB-6,2</t>
  </si>
  <si>
    <t>relevo termico de 4,2 a 6,2</t>
  </si>
  <si>
    <t>REL-ABB-1,8</t>
  </si>
  <si>
    <t>relevo termico de 1,3 a 1,8</t>
  </si>
  <si>
    <t>para motor de la torre de enfriamiento</t>
  </si>
  <si>
    <t>GUA-SLS2251F</t>
  </si>
  <si>
    <t>guardamotor de 9 a 14</t>
  </si>
  <si>
    <t>CON-SD180A11M220</t>
  </si>
  <si>
    <t>contactor steck con nc y no bobina 220v</t>
  </si>
  <si>
    <t>equipo de frio de amasadora</t>
  </si>
  <si>
    <t>CON-SD180A11M380</t>
  </si>
  <si>
    <t>contactor steck con nc y no bobina 380v</t>
  </si>
  <si>
    <t>CON-SD140A11B</t>
  </si>
  <si>
    <t>contactor steck con nc y no bobina 24v</t>
  </si>
  <si>
    <t>CON-120A</t>
  </si>
  <si>
    <t>contactor siemens</t>
  </si>
  <si>
    <t>CON- LC1D50A</t>
  </si>
  <si>
    <t>contactor schneider con nc y no bobina 115v</t>
  </si>
  <si>
    <t>CON-CL45A300M</t>
  </si>
  <si>
    <t>contactor con bobina 24v</t>
  </si>
  <si>
    <t>horno</t>
  </si>
  <si>
    <t>CON-M32-10</t>
  </si>
  <si>
    <t>contactor con nc y no bobina 24v</t>
  </si>
  <si>
    <t>CON-10E</t>
  </si>
  <si>
    <t>contactor con no bobina 220v</t>
  </si>
  <si>
    <t>CON-CL1D32</t>
  </si>
  <si>
    <t>CON- S-C112A10</t>
  </si>
  <si>
    <t>contactor steck con no bobina 220v</t>
  </si>
  <si>
    <t>CON-CB3A1210</t>
  </si>
  <si>
    <t>contactor BAW con no sin bobina</t>
  </si>
  <si>
    <t>CON-ABBA9-30-10</t>
  </si>
  <si>
    <t>CON-100-250</t>
  </si>
  <si>
    <t>c.ctor af26-30-00-13</t>
  </si>
  <si>
    <t>CON-25/220</t>
  </si>
  <si>
    <t>c.tor CL25A300t6</t>
  </si>
  <si>
    <t>CON-SD180A11M</t>
  </si>
  <si>
    <t>MAN-16B</t>
  </si>
  <si>
    <t>AISI 316L TUBE &amp; SOCKET 14 BAR</t>
  </si>
  <si>
    <t>caldera y camara</t>
  </si>
  <si>
    <t>MAN-10B</t>
  </si>
  <si>
    <t>P-0110,100MM 0-10 BAR</t>
  </si>
  <si>
    <t>SEL-SLMB8D0</t>
  </si>
  <si>
    <t>selectora 0-1 con socalos</t>
  </si>
  <si>
    <t>SEL-SLMB8T0</t>
  </si>
  <si>
    <t>selectora 1-0-2 con socalos</t>
  </si>
  <si>
    <t>PUL-SLPRN2</t>
  </si>
  <si>
    <t>pulsadores verdes, rasante sin retención</t>
  </si>
  <si>
    <t>PULH-SLPFN1M4</t>
  </si>
  <si>
    <t>pulsador sin retencion, tipo hongo color rojo</t>
  </si>
  <si>
    <t>PULH-SLPFN1R4</t>
  </si>
  <si>
    <t>pulsador con retencion, tipo hongo color rojo</t>
  </si>
  <si>
    <t>PUL-SLPRN1</t>
  </si>
  <si>
    <t>pulsadores rojos, rasante sin retención</t>
  </si>
  <si>
    <t>PUL-SLPRN3</t>
  </si>
  <si>
    <t>CON-M22-K10</t>
  </si>
  <si>
    <t>contactos normal abierto /MUELER</t>
  </si>
  <si>
    <t>CON-M22-KC10</t>
  </si>
  <si>
    <t>CON-M22-K01</t>
  </si>
  <si>
    <t>contactos normal cerrado /MUELER</t>
  </si>
  <si>
    <t>CON-M22-KC01</t>
  </si>
  <si>
    <t>STECK-SLPL41</t>
  </si>
  <si>
    <t>contactos normal cerrado /STECK</t>
  </si>
  <si>
    <t>STECK-SLPL42</t>
  </si>
  <si>
    <t>contactos normal abierto /STECK</t>
  </si>
  <si>
    <t>TES-S-DS220</t>
  </si>
  <si>
    <t>testigo luminoso AC220V-20mA VERDE</t>
  </si>
  <si>
    <t>testigo luminoso AC220V-20mA ROJO</t>
  </si>
  <si>
    <t>SOC-</t>
  </si>
  <si>
    <t>socalos para contactos STECK</t>
  </si>
  <si>
    <t>PRE-PG21</t>
  </si>
  <si>
    <t>prensa cables</t>
  </si>
  <si>
    <t>PRE-ART-175</t>
  </si>
  <si>
    <t>prensa cables 175-1"</t>
  </si>
  <si>
    <t>PRE-PG16</t>
  </si>
  <si>
    <t>Prensa cable</t>
  </si>
  <si>
    <t>PRE-PG13.5</t>
  </si>
  <si>
    <t>PRE-PG11</t>
  </si>
  <si>
    <t>PRE-PG09</t>
  </si>
  <si>
    <t>PRE-PG36</t>
  </si>
  <si>
    <t>PRE-PG07</t>
  </si>
  <si>
    <t>GRA-20MM</t>
  </si>
  <si>
    <t>grampa para caño rigido 20mm</t>
  </si>
  <si>
    <t>PLA-</t>
  </si>
  <si>
    <t>placa nivel masa de la divisora</t>
  </si>
  <si>
    <t>LH-AMF Y L-GA3000</t>
  </si>
  <si>
    <t>placa nivel de agua de la caldera</t>
  </si>
  <si>
    <t>tanque retorno caldera</t>
  </si>
  <si>
    <t>DIY-4P63A30MA</t>
  </si>
  <si>
    <t>diyuntor</t>
  </si>
  <si>
    <t>varias</t>
  </si>
  <si>
    <t>CAJ-WELT</t>
  </si>
  <si>
    <t>cajas 100x100x45</t>
  </si>
  <si>
    <t>BOR- T04S</t>
  </si>
  <si>
    <t>borneras flotantes</t>
  </si>
  <si>
    <t>BOR-PA30</t>
  </si>
  <si>
    <t>BOR-T10</t>
  </si>
  <si>
    <t>TER-TP101</t>
  </si>
  <si>
    <t>termometro</t>
  </si>
  <si>
    <t>reparado</t>
  </si>
  <si>
    <t>FUS-</t>
  </si>
  <si>
    <t>fusilera</t>
  </si>
  <si>
    <t>fusible 10x1A</t>
  </si>
  <si>
    <t>fusible 10x0,5</t>
  </si>
  <si>
    <t>RET-15-24-5</t>
  </si>
  <si>
    <t>RETEN 15-24-5 BRUCE</t>
  </si>
  <si>
    <t>RET-11011</t>
  </si>
  <si>
    <t>15.87-28.55-5</t>
  </si>
  <si>
    <t>RET-8798</t>
  </si>
  <si>
    <t>DBH 15,6-25,5-7</t>
  </si>
  <si>
    <t>RET-5931</t>
  </si>
  <si>
    <t>SAV 15,77-25,41-5</t>
  </si>
  <si>
    <t>rodillos de la banda salida Maq-jake 6000</t>
  </si>
  <si>
    <t>RET- 6729</t>
  </si>
  <si>
    <t>15-25-6</t>
  </si>
  <si>
    <t>RET</t>
  </si>
  <si>
    <t>16-24-6</t>
  </si>
  <si>
    <t>piston de paleta caida en zic zac MAQ-AMF</t>
  </si>
  <si>
    <t>RET-8390</t>
  </si>
  <si>
    <t>DBH 16-26-5</t>
  </si>
  <si>
    <t>Maq.Env.Tapas</t>
  </si>
  <si>
    <t>RET- 16-28.5-7</t>
  </si>
  <si>
    <t>16-28.5-7</t>
  </si>
  <si>
    <t>caja de tram-enbol-AMF</t>
  </si>
  <si>
    <t>RET- 11243</t>
  </si>
  <si>
    <t>20-34-7</t>
  </si>
  <si>
    <t>RET-7506</t>
  </si>
  <si>
    <t>20-42-7</t>
  </si>
  <si>
    <t>RET- 5256</t>
  </si>
  <si>
    <t>25-35-7</t>
  </si>
  <si>
    <t>RET- 7310</t>
  </si>
  <si>
    <t>25-37-7</t>
  </si>
  <si>
    <t>RET-5134  / 17-30-7</t>
  </si>
  <si>
    <t>SAV 17-30-7</t>
  </si>
  <si>
    <t>Rodillos de Transferencias</t>
  </si>
  <si>
    <t>RET- 10276</t>
  </si>
  <si>
    <t>25-38-7</t>
  </si>
  <si>
    <t>RET-7310</t>
  </si>
  <si>
    <t>SAV 25-37-7</t>
  </si>
  <si>
    <t>motor de armadora</t>
  </si>
  <si>
    <t>RET- 6287</t>
  </si>
  <si>
    <t>25,4-41,25-7,54</t>
  </si>
  <si>
    <t>RET-10433</t>
  </si>
  <si>
    <t>SAV 25,4-41,25-6,35</t>
  </si>
  <si>
    <t>RET- 5312.0</t>
  </si>
  <si>
    <t>25-42-6</t>
  </si>
  <si>
    <t>RET-5313.0</t>
  </si>
  <si>
    <t>SAV 25-42-8</t>
  </si>
  <si>
    <t>RET-SAV7498 / DBH9313 (25-47-7) BRUCE 839</t>
  </si>
  <si>
    <t>RETEN 25-47-7</t>
  </si>
  <si>
    <t>reductores del descansador L-GA3000</t>
  </si>
  <si>
    <t>RET-RUCE474 (25-55-10)</t>
  </si>
  <si>
    <t>25-55-10</t>
  </si>
  <si>
    <t>RET-DBH6702 (25-62-10)</t>
  </si>
  <si>
    <t>25-62-10</t>
  </si>
  <si>
    <t>Sernidor</t>
  </si>
  <si>
    <t>RET- 7128</t>
  </si>
  <si>
    <t>28-47-7</t>
  </si>
  <si>
    <t>RET- 5270</t>
  </si>
  <si>
    <t>30-40-7</t>
  </si>
  <si>
    <t>RET-30-44-6</t>
  </si>
  <si>
    <t>30-44-6</t>
  </si>
  <si>
    <t>RET- 7487/30-47-7</t>
  </si>
  <si>
    <t>30-47-7</t>
  </si>
  <si>
    <t>RET- 5513</t>
  </si>
  <si>
    <t>30-47-8</t>
  </si>
  <si>
    <t>RET- 7209</t>
  </si>
  <si>
    <t>30-50-7</t>
  </si>
  <si>
    <t>RET- 30-42-7</t>
  </si>
  <si>
    <t>30-42-7</t>
  </si>
  <si>
    <t>RET-6703</t>
  </si>
  <si>
    <t>30-52-7</t>
  </si>
  <si>
    <t>RET-35-45-7</t>
  </si>
  <si>
    <t>35-45-7</t>
  </si>
  <si>
    <t>RET- 11122</t>
  </si>
  <si>
    <t>30-44-7</t>
  </si>
  <si>
    <t>RET- 7354</t>
  </si>
  <si>
    <t>35-52-7</t>
  </si>
  <si>
    <t>RET- 5097</t>
  </si>
  <si>
    <t>35-52-10</t>
  </si>
  <si>
    <t>RET- 5029.0</t>
  </si>
  <si>
    <t>35-62-10</t>
  </si>
  <si>
    <t>RET-10308</t>
  </si>
  <si>
    <t>SAV 35-72-10</t>
  </si>
  <si>
    <t>RET- 5336</t>
  </si>
  <si>
    <t>35-56-12</t>
  </si>
  <si>
    <t>RET- 0096</t>
  </si>
  <si>
    <t>35-57-12</t>
  </si>
  <si>
    <t>RET- 7601</t>
  </si>
  <si>
    <t>38-52-10</t>
  </si>
  <si>
    <t>RET-38-58-10</t>
  </si>
  <si>
    <t>38-58-10</t>
  </si>
  <si>
    <t>RET- 5065</t>
  </si>
  <si>
    <t>38-62-10</t>
  </si>
  <si>
    <t>RET- 5339.0</t>
  </si>
  <si>
    <t>40-56-8</t>
  </si>
  <si>
    <t>RET- 5182.0</t>
  </si>
  <si>
    <t>40-58-10</t>
  </si>
  <si>
    <t>RET-10214</t>
  </si>
  <si>
    <t>40-62-7</t>
  </si>
  <si>
    <t>RET- 5300</t>
  </si>
  <si>
    <t>40-62-11,5</t>
  </si>
  <si>
    <t>RET-5189</t>
  </si>
  <si>
    <t>40-60-10</t>
  </si>
  <si>
    <t>Reduc - maquina margarina</t>
  </si>
  <si>
    <t>RET- 11298</t>
  </si>
  <si>
    <t>40-80-10</t>
  </si>
  <si>
    <t>RET- 6645</t>
  </si>
  <si>
    <t>40-80-12</t>
  </si>
  <si>
    <t>RET-5538</t>
  </si>
  <si>
    <t>41.28-60.40-11.10</t>
  </si>
  <si>
    <t>RET-7297</t>
  </si>
  <si>
    <t>DBH 8233 / 45-65-10</t>
  </si>
  <si>
    <t>RET- 5144</t>
  </si>
  <si>
    <t>RET-45-72-10</t>
  </si>
  <si>
    <t>RET- 7213</t>
  </si>
  <si>
    <t>RET-45-75-8</t>
  </si>
  <si>
    <t>RET- 8930</t>
  </si>
  <si>
    <t>RET-45-75-10</t>
  </si>
  <si>
    <t>RET- 7526</t>
  </si>
  <si>
    <t>RET-46-65.5-7</t>
  </si>
  <si>
    <t>RET-8333</t>
  </si>
  <si>
    <t>RET-2212</t>
  </si>
  <si>
    <t>49-64-10</t>
  </si>
  <si>
    <t>RET-5230</t>
  </si>
  <si>
    <t>RET-50-65-10</t>
  </si>
  <si>
    <t>RET-10774</t>
  </si>
  <si>
    <t>RET-50-68-9</t>
  </si>
  <si>
    <t>reductor de armadora-tapas</t>
  </si>
  <si>
    <t>RET- 5141</t>
  </si>
  <si>
    <t>RET-50-72-10</t>
  </si>
  <si>
    <t>RET- 5276</t>
  </si>
  <si>
    <t>RET-50-90-10</t>
  </si>
  <si>
    <t>RET- 600801</t>
  </si>
  <si>
    <t>RET-55-78-8</t>
  </si>
  <si>
    <t>RET- 8935</t>
  </si>
  <si>
    <t>55-78-10</t>
  </si>
  <si>
    <t>RET- 7041.0</t>
  </si>
  <si>
    <t>55-78-12</t>
  </si>
  <si>
    <t>RET- 8153</t>
  </si>
  <si>
    <t>55-85-12</t>
  </si>
  <si>
    <t>RET- 10217</t>
  </si>
  <si>
    <t>55-90-10</t>
  </si>
  <si>
    <t>RET-5277</t>
  </si>
  <si>
    <t>SAV 55-90-13</t>
  </si>
  <si>
    <t>RET- 7763</t>
  </si>
  <si>
    <t>RET-58-90-10</t>
  </si>
  <si>
    <t>RET- 5356</t>
  </si>
  <si>
    <t>60-75-8</t>
  </si>
  <si>
    <t>RET-5200</t>
  </si>
  <si>
    <t>60-80-10</t>
  </si>
  <si>
    <t>reductor de amasadora de tapas</t>
  </si>
  <si>
    <t>RET- 7274</t>
  </si>
  <si>
    <t>65-85-8</t>
  </si>
  <si>
    <t>RET- 5279</t>
  </si>
  <si>
    <t>65-90-10</t>
  </si>
  <si>
    <t>RET- 10606</t>
  </si>
  <si>
    <t>65-120-12</t>
  </si>
  <si>
    <t>RET-65-120-13</t>
  </si>
  <si>
    <t>RET- 5376</t>
  </si>
  <si>
    <t>66.68-85-10</t>
  </si>
  <si>
    <t>68,50-89-13</t>
  </si>
  <si>
    <t>RET-5462</t>
  </si>
  <si>
    <t>SAV 68-90-13</t>
  </si>
  <si>
    <t>tornillo de divisora LH.AMF</t>
  </si>
  <si>
    <t>RET-70-90-13</t>
  </si>
  <si>
    <t>RET- 7356</t>
  </si>
  <si>
    <t>RET-78-100-10</t>
  </si>
  <si>
    <t>RET- 0723</t>
  </si>
  <si>
    <t>RET-80-100-10</t>
  </si>
  <si>
    <t>RET- 5902</t>
  </si>
  <si>
    <t>RET-100-120-13</t>
  </si>
  <si>
    <t>RET- 10281</t>
  </si>
  <si>
    <t>RET-100-140-13</t>
  </si>
  <si>
    <t>RET-10147.0</t>
  </si>
  <si>
    <t>RET-110-140-12</t>
  </si>
  <si>
    <t>RET- 5463</t>
  </si>
  <si>
    <t>RET-110-140-13</t>
  </si>
  <si>
    <t>RET- 6090</t>
  </si>
  <si>
    <t>RET-150-168-13</t>
  </si>
  <si>
    <t>RET- 5442</t>
  </si>
  <si>
    <t>RET-150-180-13</t>
  </si>
  <si>
    <t>RET-5282</t>
  </si>
  <si>
    <t>SAV 70-90-10</t>
  </si>
  <si>
    <t>RET-7146</t>
  </si>
  <si>
    <t>55-85-10</t>
  </si>
  <si>
    <t>COR- A-27</t>
  </si>
  <si>
    <t>A-27 EQUIPOS -AIRE</t>
  </si>
  <si>
    <t>equipos de aire</t>
  </si>
  <si>
    <t>COR-3V-850</t>
  </si>
  <si>
    <t>3V-850</t>
  </si>
  <si>
    <t>AMASADORAS CHICAS</t>
  </si>
  <si>
    <t>COR-T-903137 2-C</t>
  </si>
  <si>
    <t>COR-1200</t>
  </si>
  <si>
    <t>COR-1270</t>
  </si>
  <si>
    <t>AVX13X1200</t>
  </si>
  <si>
    <t>HORNO ROTATIVOS</t>
  </si>
  <si>
    <t>COR-1300</t>
  </si>
  <si>
    <t>D11X1270</t>
  </si>
  <si>
    <t>COR-1475</t>
  </si>
  <si>
    <t>AV13LA1300</t>
  </si>
  <si>
    <t>COR-1490</t>
  </si>
  <si>
    <t>13A1475C</t>
  </si>
  <si>
    <t>COR-1495</t>
  </si>
  <si>
    <t>13AV1490</t>
  </si>
  <si>
    <t>COR-1500</t>
  </si>
  <si>
    <t>13X1495DU</t>
  </si>
  <si>
    <t>COR-509</t>
  </si>
  <si>
    <t>COR-A31</t>
  </si>
  <si>
    <t>A-31</t>
  </si>
  <si>
    <t>COR-A47</t>
  </si>
  <si>
    <t>A-47</t>
  </si>
  <si>
    <t>COR-A50</t>
  </si>
  <si>
    <t>A-50</t>
  </si>
  <si>
    <t>COR-A57</t>
  </si>
  <si>
    <t>Correas A-57</t>
  </si>
  <si>
    <t>COR-B35</t>
  </si>
  <si>
    <t>Correas B-35</t>
  </si>
  <si>
    <t>laminadores de tapas</t>
  </si>
  <si>
    <t>COR-B36</t>
  </si>
  <si>
    <t>Correas B-36</t>
  </si>
  <si>
    <t>COR-A46</t>
  </si>
  <si>
    <t>Correas A-46</t>
  </si>
  <si>
    <t>COR-B39</t>
  </si>
  <si>
    <t>Correas B-39</t>
  </si>
  <si>
    <t>soplador de harina/ cámara de fermentado</t>
  </si>
  <si>
    <t>COR-5475</t>
  </si>
  <si>
    <t>Correas B 5475</t>
  </si>
  <si>
    <t>COR-B45</t>
  </si>
  <si>
    <t>Correas B-45</t>
  </si>
  <si>
    <t>Tapas laminadores / Zona 2 Horno</t>
  </si>
  <si>
    <t>COR-B47</t>
  </si>
  <si>
    <t>Correas B-47</t>
  </si>
  <si>
    <t>turbinas de horno</t>
  </si>
  <si>
    <t>COR-B-49</t>
  </si>
  <si>
    <t>Correas B-49</t>
  </si>
  <si>
    <t>COR- B54</t>
  </si>
  <si>
    <t>Correas B-54</t>
  </si>
  <si>
    <t>divisora de L-GA3000</t>
  </si>
  <si>
    <t>COR- B-55</t>
  </si>
  <si>
    <t>Correas B-55</t>
  </si>
  <si>
    <t>COR- B-61</t>
  </si>
  <si>
    <t>Correas B-61</t>
  </si>
  <si>
    <t>fermentadora NO C USA</t>
  </si>
  <si>
    <t>COR-240XL</t>
  </si>
  <si>
    <t>CORREA DENTADA 240XL Transferencia</t>
  </si>
  <si>
    <t>Tranferencias de transporte</t>
  </si>
  <si>
    <t>COR- XPA 1700</t>
  </si>
  <si>
    <t>XPA1700</t>
  </si>
  <si>
    <t>compresor ceccato usadas para emergencia</t>
  </si>
  <si>
    <t>COR-302020</t>
  </si>
  <si>
    <t>atadora</t>
  </si>
  <si>
    <t>Ata-Lanza</t>
  </si>
  <si>
    <t>COR-302132</t>
  </si>
  <si>
    <t>SELLOH-1800</t>
  </si>
  <si>
    <t>38,10-47,63-4,76</t>
  </si>
  <si>
    <t>sello empaquetadura superior de pist{on de batea amasadora</t>
  </si>
  <si>
    <t>SELLOH-4500</t>
  </si>
  <si>
    <t>38,10-47,62-9,52</t>
  </si>
  <si>
    <t>RET- 6730</t>
  </si>
  <si>
    <t>100-120-12,7</t>
  </si>
  <si>
    <t>RET-1134</t>
  </si>
  <si>
    <t>24-42-8</t>
  </si>
  <si>
    <t>RET- 25-41,4-6</t>
  </si>
  <si>
    <t>RET- 5427</t>
  </si>
  <si>
    <t>35-47-7</t>
  </si>
  <si>
    <t>RET- 5338</t>
  </si>
  <si>
    <t>38-56-10</t>
  </si>
  <si>
    <t>ACEI-</t>
  </si>
  <si>
    <t>aceite-cadenas</t>
  </si>
  <si>
    <t>ACEI-GXA</t>
  </si>
  <si>
    <t>aceite de engran-</t>
  </si>
  <si>
    <t>alto ren-caja cam-camiones</t>
  </si>
  <si>
    <t>ACEI-IDRA-</t>
  </si>
  <si>
    <t>Hidraulico rojo</t>
  </si>
  <si>
    <t>para direcciones</t>
  </si>
  <si>
    <t>ACEI-15W40</t>
  </si>
  <si>
    <t>motor</t>
  </si>
  <si>
    <t>para grupo electrogeno</t>
  </si>
  <si>
    <t>ACEI-85-140</t>
  </si>
  <si>
    <t>diferencial</t>
  </si>
  <si>
    <t>para diferencial-amasadora</t>
  </si>
  <si>
    <t>ACEI-AIR-MAN</t>
  </si>
  <si>
    <t>lubricantes</t>
  </si>
  <si>
    <t>para compresores a tornillos</t>
  </si>
  <si>
    <t>ACEI-OMALA</t>
  </si>
  <si>
    <t>omala s2g 320</t>
  </si>
  <si>
    <t>para reductores</t>
  </si>
  <si>
    <t>omala 220</t>
  </si>
  <si>
    <t>para reductores mas lijeros</t>
  </si>
  <si>
    <t>LUBR-SEN-67</t>
  </si>
  <si>
    <t>lubri-alimenticio</t>
  </si>
  <si>
    <t>para reguladoresde aire</t>
  </si>
  <si>
    <t>LUBR-SEND-70</t>
  </si>
  <si>
    <t>lubri-vaselinado</t>
  </si>
  <si>
    <t>en cadenas uso alimenticio</t>
  </si>
  <si>
    <t>LIM-SEN-10</t>
  </si>
  <si>
    <t>limpia-alcali-desen</t>
  </si>
  <si>
    <t>desengrasante</t>
  </si>
  <si>
    <t>LIM-</t>
  </si>
  <si>
    <t>elimina grasas</t>
  </si>
  <si>
    <t>LIM-DIEL-</t>
  </si>
  <si>
    <t>solvente dieletrico</t>
  </si>
  <si>
    <t>para limpieza de motres</t>
  </si>
  <si>
    <t>DES-EF2000</t>
  </si>
  <si>
    <t>desincrustante</t>
  </si>
  <si>
    <t>para ciruitos de agua</t>
  </si>
  <si>
    <t>LIM-DESEN</t>
  </si>
  <si>
    <t>rapid plus</t>
  </si>
  <si>
    <t>para acero inox pred y piso</t>
  </si>
  <si>
    <t>GRA-LITIO</t>
  </si>
  <si>
    <t>multis EP-2</t>
  </si>
  <si>
    <t>para rodamientos</t>
  </si>
  <si>
    <t>GRA-LUBRAX</t>
  </si>
  <si>
    <t>grasa grafitada</t>
  </si>
  <si>
    <t>para componentes con rose</t>
  </si>
  <si>
    <t>GRA-ESILUBE</t>
  </si>
  <si>
    <t>alta temperatura</t>
  </si>
  <si>
    <t>para rodamientos del horno</t>
  </si>
  <si>
    <t>GRA- SEND-71</t>
  </si>
  <si>
    <t>lubric-solido</t>
  </si>
  <si>
    <t>alimenticia</t>
  </si>
  <si>
    <t>JAB-SKIN SED</t>
  </si>
  <si>
    <t>pasta</t>
  </si>
  <si>
    <t>para limpieza de manos</t>
  </si>
  <si>
    <t>SHA- SENCAR</t>
  </si>
  <si>
    <t>shampoo</t>
  </si>
  <si>
    <t>para limpieza de autos</t>
  </si>
  <si>
    <t>ALC-ISO</t>
  </si>
  <si>
    <t>alcohol isopropilico</t>
  </si>
  <si>
    <t>para lim- de com-electricos</t>
  </si>
  <si>
    <t>ACI-L-M-SP-5</t>
  </si>
  <si>
    <t>limp-multiaccion</t>
  </si>
  <si>
    <t>para sarros</t>
  </si>
  <si>
    <t xml:space="preserve">Biocida </t>
  </si>
  <si>
    <t>Biocida Bardahl x 900ML</t>
  </si>
  <si>
    <t>Para gasoil</t>
  </si>
  <si>
    <t>ANT-AD F</t>
  </si>
  <si>
    <t>antiaderente</t>
  </si>
  <si>
    <t>para filtros de aire</t>
  </si>
  <si>
    <t>GRAFITO EN POLVO</t>
  </si>
  <si>
    <t>Grafito en polvo Marca LUBOKS</t>
  </si>
  <si>
    <t>cadenas del horno</t>
  </si>
  <si>
    <t>PRO-GLICOL</t>
  </si>
  <si>
    <t>anticongelante</t>
  </si>
  <si>
    <t>para equipo de amasadora</t>
  </si>
  <si>
    <t>DIL-A589</t>
  </si>
  <si>
    <t>diluyente de tinta IMAJE</t>
  </si>
  <si>
    <t>fechador Imaje</t>
  </si>
  <si>
    <t>DIL-RS-1427M</t>
  </si>
  <si>
    <t>diluyente de tinta HITACHI</t>
  </si>
  <si>
    <t>fechador HitachI</t>
  </si>
  <si>
    <t>SOL-5589</t>
  </si>
  <si>
    <t>solvente limpieza IMAJE</t>
  </si>
  <si>
    <t>fechador imaje</t>
  </si>
  <si>
    <t>SOL-RS1428</t>
  </si>
  <si>
    <t>solvente limpieza HITACHI</t>
  </si>
  <si>
    <t>fechador hitachi</t>
  </si>
  <si>
    <t>TIN-EB588</t>
  </si>
  <si>
    <t>Tinta IMAJE</t>
  </si>
  <si>
    <t>Fechador Imaje</t>
  </si>
  <si>
    <t>TIN-RS1426M</t>
  </si>
  <si>
    <t>Tinta Hitachi</t>
  </si>
  <si>
    <t>Fechador Hitachi</t>
  </si>
  <si>
    <t>CIN-RIB-3521</t>
  </si>
  <si>
    <t>Rollo cintas Ribbon</t>
  </si>
  <si>
    <t>Fechador de Alipak</t>
  </si>
  <si>
    <t>CAR-TINTA</t>
  </si>
  <si>
    <t>cartuchos de tinta</t>
  </si>
  <si>
    <t>CIE-CLAP</t>
  </si>
  <si>
    <t>cierre rapido clamp tirador -tipo capot</t>
  </si>
  <si>
    <t>maq-margarina</t>
  </si>
  <si>
    <t>MOT- QUE-</t>
  </si>
  <si>
    <t xml:space="preserve">motor  0,25cv 2.870rpm    1.45a </t>
  </si>
  <si>
    <t>quemador horno</t>
  </si>
  <si>
    <t xml:space="preserve">motor   2.964rpm    1a </t>
  </si>
  <si>
    <t>quemador caldera</t>
  </si>
  <si>
    <t>TUR- QUE-</t>
  </si>
  <si>
    <t>Turbina Bimont 145mm x 65mm eje 12.5mm</t>
  </si>
  <si>
    <t>Turbina bimont 160mm x 60mm eje 12.7mm</t>
  </si>
  <si>
    <t>CON- BRA-</t>
  </si>
  <si>
    <t>Contolador brahma  220v 6.5va</t>
  </si>
  <si>
    <t>quemadores</t>
  </si>
  <si>
    <t>CON-HON</t>
  </si>
  <si>
    <t>Contolador Honeywell  DKG972 220v 15va</t>
  </si>
  <si>
    <t>SOC-  C-H</t>
  </si>
  <si>
    <t>socalo para control honeywell</t>
  </si>
  <si>
    <t>SOC-  C-B</t>
  </si>
  <si>
    <t>socalo para control brahma</t>
  </si>
  <si>
    <t xml:space="preserve">PRE-16(6)A </t>
  </si>
  <si>
    <t xml:space="preserve">presostato 1 bar =100KPa   max 9bar </t>
  </si>
  <si>
    <t xml:space="preserve">PRE-PARX0008 </t>
  </si>
  <si>
    <t>presostato 250/125vca</t>
  </si>
  <si>
    <t xml:space="preserve">presosato 250/125vca </t>
  </si>
  <si>
    <t>TER-H380-</t>
  </si>
  <si>
    <t>termocupla 380mm largo</t>
  </si>
  <si>
    <t>TER-C200-</t>
  </si>
  <si>
    <t>termocupla  200mm largo</t>
  </si>
  <si>
    <t>TER-C220-</t>
  </si>
  <si>
    <t>termocupla 220mm largo</t>
  </si>
  <si>
    <t>SEN-LL-</t>
  </si>
  <si>
    <t>sensor de llama</t>
  </si>
  <si>
    <t>SEN-CH-</t>
  </si>
  <si>
    <t>sensor de chispa</t>
  </si>
  <si>
    <t>CAB-S-</t>
  </si>
  <si>
    <t>cable siliconado</t>
  </si>
  <si>
    <t>TER-M-M-1264</t>
  </si>
  <si>
    <t>termocupla</t>
  </si>
  <si>
    <t>maq- de margarina</t>
  </si>
  <si>
    <t>SOL-MF18C406A</t>
  </si>
  <si>
    <t>solenoide 220v  11watts je</t>
  </si>
  <si>
    <t>horno y caldera</t>
  </si>
  <si>
    <t>SOL-SERIE 723804</t>
  </si>
  <si>
    <t>solenoide 110v 16,7watts valvula  n°8262B208     agua y gas  coneccion 1/4</t>
  </si>
  <si>
    <t>PIÑ-P</t>
  </si>
  <si>
    <t xml:space="preserve">piñones plasticos eje cuadrado-39mm  dia-ext-165mm  paso 25.30mm </t>
  </si>
  <si>
    <t xml:space="preserve">bandas modulares </t>
  </si>
  <si>
    <t xml:space="preserve">piñones plasticos eje cuadrado-39mm  dia- ext-152mm paso 16.50mm  </t>
  </si>
  <si>
    <t xml:space="preserve">piñones plasticos  eje redondo-39.80mm  dia-ext- 124.5mm </t>
  </si>
  <si>
    <t>banda enbolsadora amf</t>
  </si>
  <si>
    <t xml:space="preserve">piñones plasticos eje redondo-26mm dia-ext-100mm </t>
  </si>
  <si>
    <t xml:space="preserve">piñones plkasticos eje redondo-26mm dia-ext 73mm </t>
  </si>
  <si>
    <t xml:space="preserve">piñones plasticos  eje cuadrado-39mm  dia-ext- 80mm </t>
  </si>
  <si>
    <t xml:space="preserve">banda rebanadora amf </t>
  </si>
  <si>
    <t xml:space="preserve">piñones plasticos eje cuadrado-25.90mm dia- ext 58.40mm </t>
  </si>
  <si>
    <t>piñones plasticos  eje cuadrado 39mm dia.ext-79.30mm</t>
  </si>
  <si>
    <t>banda modular</t>
  </si>
  <si>
    <t>piñones plasticos  eje redondo-20mm dia-ext- 126mm  tipo dedos</t>
  </si>
  <si>
    <t xml:space="preserve"> cuchilla grande enfriador </t>
  </si>
  <si>
    <t>piñones plasticos eje cuadrado 39mm ext- 130mm</t>
  </si>
  <si>
    <t>SOS-P</t>
  </si>
  <si>
    <t>sostenedor de piñones eje  cuadrado 39mm</t>
  </si>
  <si>
    <t>PIÑ-ACET</t>
  </si>
  <si>
    <t>Piñ.Acetal blanco Z16 p.eje 1 1/2"</t>
  </si>
  <si>
    <t>p.banda modular serie 8000</t>
  </si>
  <si>
    <t>PUN-B</t>
  </si>
  <si>
    <t xml:space="preserve">punteras de entrada </t>
  </si>
  <si>
    <t xml:space="preserve">punteras  de salida </t>
  </si>
  <si>
    <t>PUN-ACETAL I</t>
  </si>
  <si>
    <t>Puntera color blanco ACETAL IZQ</t>
  </si>
  <si>
    <t>banda mod. serie 8000</t>
  </si>
  <si>
    <t>IND-E</t>
  </si>
  <si>
    <t>Indices banda modular</t>
  </si>
  <si>
    <t>salida enbolsadora amf</t>
  </si>
  <si>
    <t>BAN-M</t>
  </si>
  <si>
    <t>banda modular con grip 400mm ancho</t>
  </si>
  <si>
    <t xml:space="preserve">entrada a la rebanadora </t>
  </si>
  <si>
    <t xml:space="preserve">TER- </t>
  </si>
  <si>
    <t>Termocupla para las mordasas</t>
  </si>
  <si>
    <t>jake big size</t>
  </si>
  <si>
    <t>TURB- PELTON</t>
  </si>
  <si>
    <t>Pos.5/Turbina BRONCE/Nr.pieza P05BA</t>
  </si>
  <si>
    <t>Bba/Pelton/Cald.</t>
  </si>
  <si>
    <t>MOT-T</t>
  </si>
  <si>
    <t>Motor con turbina 2hp   1400rpm ip.55    MOD. MS90L-4</t>
  </si>
  <si>
    <t>horno rotativos</t>
  </si>
  <si>
    <t>motor con turbina 2cv 1410rpm  n°206  tipo 90L</t>
  </si>
  <si>
    <t xml:space="preserve">horno rotativos </t>
  </si>
  <si>
    <t>MOT-R</t>
  </si>
  <si>
    <t>motorreductor 1385 rpm ip55  n°139711</t>
  </si>
  <si>
    <t>hornos rotativos calesita</t>
  </si>
  <si>
    <t>motorreductor 0.50hp  1320rpm</t>
  </si>
  <si>
    <t>MAN-GOM-PELTON</t>
  </si>
  <si>
    <t>Manchon de goma y tela Diam.60mm</t>
  </si>
  <si>
    <t>Bomba Pelton caldera</t>
  </si>
  <si>
    <t>PAL-M</t>
  </si>
  <si>
    <t>paletas  eje 28mm x171mm</t>
  </si>
  <si>
    <t>motores</t>
  </si>
  <si>
    <t>paletas  eje 22mm x157mm</t>
  </si>
  <si>
    <t>paletas eje 11.50mm x110mm</t>
  </si>
  <si>
    <t>paletas eje 15mm x117mm</t>
  </si>
  <si>
    <t>paletas eje 15mm x 111mm</t>
  </si>
  <si>
    <t>paletas eje 14mm x 117mm</t>
  </si>
  <si>
    <t>paletas  eje 14mm x 128mm</t>
  </si>
  <si>
    <t>paletas eje 14mm x 116mm</t>
  </si>
  <si>
    <t>INP-B</t>
  </si>
  <si>
    <t>impulsor 50/32/200/2</t>
  </si>
  <si>
    <t xml:space="preserve">para bombas de agua </t>
  </si>
  <si>
    <t>impulsor 158mm x 16mm eje</t>
  </si>
  <si>
    <t>impulsor  160mm x16mm eje</t>
  </si>
  <si>
    <t>SELL-B</t>
  </si>
  <si>
    <t>sellos 20mm eje</t>
  </si>
  <si>
    <t>PAT-M</t>
  </si>
  <si>
    <t>patas varias medidas</t>
  </si>
  <si>
    <t>SUJ-R</t>
  </si>
  <si>
    <t xml:space="preserve">sujetadores vaias medidas </t>
  </si>
  <si>
    <t xml:space="preserve">para reductores </t>
  </si>
  <si>
    <t>MOT-B</t>
  </si>
  <si>
    <t xml:space="preserve">motor mod-LE-35 N:4900   220v 2800rpm </t>
  </si>
  <si>
    <t>RED-</t>
  </si>
  <si>
    <t>reductor mod:NMRV040   R:1/7.5   brida:71B14  contiene aceite  320</t>
  </si>
  <si>
    <t xml:space="preserve">varios </t>
  </si>
  <si>
    <t>reductor eje mot-11mm eje red-14mm   R: 1/15</t>
  </si>
  <si>
    <t>reductor WM150  R:1/100</t>
  </si>
  <si>
    <t>reductor   carcasa 90B14  mod NMRV63   R: 1/7.5</t>
  </si>
  <si>
    <t>reductor  brida 161mm eje motor 14mm  eje red-19mm</t>
  </si>
  <si>
    <t xml:space="preserve">RED- </t>
  </si>
  <si>
    <t>reductor eje 25mm   eje de motor 14mm  R:1/80</t>
  </si>
  <si>
    <t>estivador l-ga3000</t>
  </si>
  <si>
    <t>RED-STM</t>
  </si>
  <si>
    <t>reductor  STM   R:1/28</t>
  </si>
  <si>
    <t>ALIPAK</t>
  </si>
  <si>
    <t>ALI-CUCH-CORT</t>
  </si>
  <si>
    <t>Cuchilla corte de transversales</t>
  </si>
  <si>
    <t>1 JUEGO</t>
  </si>
  <si>
    <t>ALI-RESIST.DE  CORTE</t>
  </si>
  <si>
    <t>Resist.Transversal cuchila corte</t>
  </si>
  <si>
    <t>ALI-RESIST.SELL RODILLOS</t>
  </si>
  <si>
    <t>RESISTENCIA DE DISCOS</t>
  </si>
  <si>
    <t>ALI-SENS.PUERTA ORIGINAL</t>
  </si>
  <si>
    <t>Sens. origianles RN04- puerta seg.RIKO</t>
  </si>
  <si>
    <t xml:space="preserve">RED-ALFA </t>
  </si>
  <si>
    <t xml:space="preserve">reductor mod -NMRV75  carcasa 90B5  R:1/30  eje motor 24mm  eje red-31.70mm  doble chaveta </t>
  </si>
  <si>
    <t>TERM-ST-J</t>
  </si>
  <si>
    <t>Termocupla  temperatura mordazas env</t>
  </si>
  <si>
    <t>FIL-REG-</t>
  </si>
  <si>
    <t xml:space="preserve">filtro regulador con manometro </t>
  </si>
  <si>
    <t>MAN-MM40-35</t>
  </si>
  <si>
    <t>manometro DN:40mm    rosca  1/8"   BSPT  rango:  4kg/cmm2    60lb/pulg/2</t>
  </si>
  <si>
    <t xml:space="preserve">SOG_TEF-1mts </t>
  </si>
  <si>
    <t>soga teflonada</t>
  </si>
  <si>
    <t xml:space="preserve">eje de amasadora </t>
  </si>
  <si>
    <t>DANFOSS ELI (Filtro)</t>
  </si>
  <si>
    <t>Filtro Eliminator cod. Danfoss 023Z0071</t>
  </si>
  <si>
    <t>Compresor Frascold DE 22Hp Enf.Batea Amasadora</t>
  </si>
  <si>
    <t>DANFOSS VALVULA(VALVE)</t>
  </si>
  <si>
    <t>Valvula expansora R22 Cod. Danfoss 067B3210</t>
  </si>
  <si>
    <t>DANFOSS (ORIFICCE FOR EXP. VALVE)</t>
  </si>
  <si>
    <t>Bastago de expansora R22 Cod. Danfoss 067B2709</t>
  </si>
  <si>
    <t>VAL-DANFOSS TX2</t>
  </si>
  <si>
    <t>Valvula Danfoss TX2 R22 S/COMPENSADOR 068Z3206</t>
  </si>
  <si>
    <t>Compresores equipo agua fria Masa</t>
  </si>
  <si>
    <t>TOB-DANFOSS T2 NR.03</t>
  </si>
  <si>
    <t>Tobera Danfoss T2 Nr.03 (1T R12/502-1.5T R22) 0682006</t>
  </si>
  <si>
    <t>INVENTARIO</t>
  </si>
  <si>
    <t>DISPONIBLE</t>
  </si>
  <si>
    <t>CAD-S6O Doble</t>
  </si>
  <si>
    <t>NOMBRE</t>
  </si>
  <si>
    <t>UNIDADES</t>
  </si>
  <si>
    <t>COSTO UNIDAD</t>
  </si>
  <si>
    <t>FECHA</t>
  </si>
  <si>
    <t>CAD-40</t>
  </si>
  <si>
    <t>CAD-60-1</t>
  </si>
  <si>
    <t>CAD-80X2</t>
  </si>
  <si>
    <t>UNI-CAD-50X2</t>
  </si>
  <si>
    <t>UNI-CAD-60X2</t>
  </si>
  <si>
    <t>ROD-1209</t>
  </si>
  <si>
    <t>ROD-1209-usado</t>
  </si>
  <si>
    <t>ROD-6004-rsh</t>
  </si>
  <si>
    <t>VAL-1/2"</t>
  </si>
  <si>
    <t>VAL-3/4"</t>
  </si>
  <si>
    <t>VAL-1"</t>
  </si>
  <si>
    <t>VAL- 3/4"</t>
  </si>
  <si>
    <t>Flexible 1/2" 35cm mallado</t>
  </si>
  <si>
    <t>CUCHARA-</t>
  </si>
  <si>
    <t>BAN-MAG-</t>
  </si>
  <si>
    <t>FER-MECH-AR1</t>
  </si>
  <si>
    <t>FER-MECH-AR1,25</t>
  </si>
  <si>
    <t>FER-MECH-AR1,5</t>
  </si>
  <si>
    <t>FER-MECH-AR1,75</t>
  </si>
  <si>
    <t>FER-MECH-AR2</t>
  </si>
  <si>
    <t>FER-MECH-AR2,5</t>
  </si>
  <si>
    <t>FER-MECH-AR3</t>
  </si>
  <si>
    <t>FER-MECH-A3,5</t>
  </si>
  <si>
    <t>FER-MECH-AR3,75</t>
  </si>
  <si>
    <t>FER-MECH-AR5,25</t>
  </si>
  <si>
    <t>FER-MECH-AR5,5</t>
  </si>
  <si>
    <t>FER-MECH-AR6</t>
  </si>
  <si>
    <t>FER-MECH-AR7,75</t>
  </si>
  <si>
    <t>FER-MECH-AR8</t>
  </si>
  <si>
    <t>FER-MECH-AR10</t>
  </si>
  <si>
    <t>FER-MECH-AR12,5</t>
  </si>
  <si>
    <t>AER-W40</t>
  </si>
  <si>
    <t>FER-PINCEL</t>
  </si>
  <si>
    <t>CON-18001352</t>
  </si>
  <si>
    <t>CONT-24VA4K</t>
  </si>
  <si>
    <t>TRA-220V-</t>
  </si>
  <si>
    <t>RET- 5134</t>
  </si>
  <si>
    <t>RET- 5462</t>
  </si>
  <si>
    <t>RET-7498</t>
  </si>
  <si>
    <t>CON-SLPL41</t>
  </si>
  <si>
    <t>RET-SAV7498 / DBH9313</t>
  </si>
  <si>
    <t>CIN-3521</t>
  </si>
  <si>
    <t>CON-HONEYWELL</t>
  </si>
  <si>
    <t>Union cad 80 doble</t>
  </si>
  <si>
    <t>Sen-Atadora</t>
  </si>
  <si>
    <t>RET- 7487</t>
  </si>
  <si>
    <t>TURB- PEL</t>
  </si>
  <si>
    <t>1metro</t>
  </si>
  <si>
    <t>BAN-CU-CHICA</t>
  </si>
  <si>
    <t>BAN-CU-GRAN</t>
  </si>
  <si>
    <t>Cantidad de artículos a descargar</t>
  </si>
  <si>
    <t>Disponible en stock</t>
  </si>
  <si>
    <t>TÉCNICO</t>
  </si>
  <si>
    <t>ROD-6202-2RS</t>
  </si>
  <si>
    <t>ret- 25-37-7</t>
  </si>
  <si>
    <t>69032rs</t>
  </si>
  <si>
    <t>RET- 20-30-7</t>
  </si>
  <si>
    <t>Rueda zorra de tapas</t>
  </si>
  <si>
    <t>Horquilla giratoria zorra de tapas</t>
  </si>
  <si>
    <t>45-65-10</t>
  </si>
  <si>
    <t>rod-6201</t>
  </si>
  <si>
    <t>rod-6002</t>
  </si>
  <si>
    <t>Man-Gom</t>
  </si>
  <si>
    <t>25-47-7</t>
  </si>
  <si>
    <t>ENTRADAS</t>
  </si>
  <si>
    <t>SALIDAS</t>
  </si>
  <si>
    <t>RESTO</t>
  </si>
  <si>
    <t>VALOR ENTRADAS</t>
  </si>
  <si>
    <t>VALOR SALIDAS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</si>
</sst>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[$ $]#,##0.00"/>
    <numFmt numFmtId="166" formatCode="d/MM/yyyy H:mm:ss"/>
    <numFmt numFmtId="167" formatCode="dd/mm/yyyy"/>
    <numFmt numFmtId="168" formatCode="#,##0.00\ [$€-1]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Arial"/>
      <scheme val="minor"/>
    </font>
    <font/>
    <font>
      <b/>
      <color rgb="FFFFFFFF"/>
      <name val="Arial"/>
      <scheme val="minor"/>
    </font>
    <font>
      <sz val="11.0"/>
      <color rgb="FF000000"/>
      <name val="Calibri"/>
    </font>
    <font>
      <u/>
      <color theme="1"/>
      <name val="Arial"/>
      <scheme val="minor"/>
    </font>
    <font>
      <sz val="11.0"/>
      <color rgb="FFEB0400"/>
      <name val="Roboto"/>
    </font>
    <font>
      <sz val="18.0"/>
      <color theme="1"/>
      <name val="Arial"/>
      <scheme val="minor"/>
    </font>
    <font>
      <b/>
      <sz val="10.0"/>
      <color rgb="FFFFFFFF"/>
      <name val="Arial"/>
      <scheme val="minor"/>
    </font>
    <font>
      <sz val="9.0"/>
      <color rgb="FF000000"/>
      <name val="&quot;Google Sans Mono&quot;"/>
    </font>
    <font>
      <b/>
      <i/>
      <sz val="11.0"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7" fillId="4" fontId="4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readingOrder="0" shrinkToFit="0" vertical="center" wrapText="1"/>
    </xf>
    <xf borderId="10" fillId="5" fontId="5" numFmtId="0" xfId="0" applyAlignment="1" applyBorder="1" applyFont="1">
      <alignment horizontal="center" readingOrder="0" shrinkToFit="0" vertical="center" wrapText="1"/>
    </xf>
    <xf borderId="11" fillId="5" fontId="1" numFmtId="0" xfId="0" applyAlignment="1" applyBorder="1" applyFont="1">
      <alignment horizontal="center" shrinkToFit="0" vertical="center" wrapText="1"/>
    </xf>
    <xf borderId="12" fillId="5" fontId="5" numFmtId="0" xfId="0" applyAlignment="1" applyBorder="1" applyFont="1">
      <alignment horizontal="center" readingOrder="0" shrinkToFit="0" vertical="center" wrapText="1"/>
    </xf>
    <xf borderId="13" fillId="5" fontId="5" numFmtId="0" xfId="0" applyAlignment="1" applyBorder="1" applyFont="1">
      <alignment horizontal="center" readingOrder="0" shrinkToFit="0" vertical="center" wrapText="1"/>
    </xf>
    <xf borderId="14" fillId="5" fontId="1" numFmtId="0" xfId="0" applyAlignment="1" applyBorder="1" applyFont="1">
      <alignment horizontal="center" shrinkToFit="0" vertical="center" wrapText="1"/>
    </xf>
    <xf borderId="13" fillId="5" fontId="5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horizontal="center" readingOrder="0" shrinkToFit="0" vertical="center" wrapText="1"/>
    </xf>
    <xf borderId="14" fillId="6" fontId="1" numFmtId="0" xfId="0" applyAlignment="1" applyBorder="1" applyFill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3" fillId="6" fontId="1" numFmtId="0" xfId="0" applyAlignment="1" applyBorder="1" applyFont="1">
      <alignment horizontal="center" shrinkToFit="0" vertical="center" wrapText="1"/>
    </xf>
    <xf borderId="13" fillId="5" fontId="1" numFmtId="0" xfId="0" applyAlignment="1" applyBorder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3" fillId="5" fontId="1" numFmtId="0" xfId="0" applyAlignment="1" applyBorder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13" fillId="5" fontId="5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readingOrder="0"/>
    </xf>
    <xf borderId="0" fillId="7" fontId="7" numFmtId="0" xfId="0" applyAlignment="1" applyFill="1" applyFont="1">
      <alignment horizontal="left" readingOrder="0" shrinkToFit="0" wrapText="0"/>
    </xf>
    <xf borderId="15" fillId="5" fontId="5" numFmtId="0" xfId="0" applyAlignment="1" applyBorder="1" applyFont="1">
      <alignment horizontal="center" readingOrder="0" shrinkToFit="0" vertical="center" wrapText="1"/>
    </xf>
    <xf borderId="15" fillId="5" fontId="5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2" fillId="6" fontId="1" numFmtId="0" xfId="0" applyAlignment="1" applyBorder="1" applyFont="1">
      <alignment horizontal="center" readingOrder="0" shrinkToFit="0" vertical="center" wrapText="1"/>
    </xf>
    <xf borderId="13" fillId="6" fontId="1" numFmtId="0" xfId="0" applyAlignment="1" applyBorder="1" applyFont="1">
      <alignment horizontal="center" readingOrder="0" shrinkToFit="0" vertical="center" wrapText="1"/>
    </xf>
    <xf borderId="13" fillId="6" fontId="1" numFmtId="164" xfId="0" applyAlignment="1" applyBorder="1" applyFont="1" applyNumberFormat="1">
      <alignment horizontal="center" readingOrder="0" shrinkToFit="0" vertical="center" wrapText="1"/>
    </xf>
    <xf borderId="12" fillId="6" fontId="1" numFmtId="0" xfId="0" applyAlignment="1" applyBorder="1" applyFont="1">
      <alignment horizontal="center" shrinkToFit="0" vertical="center" wrapText="1"/>
    </xf>
    <xf borderId="0" fillId="8" fontId="8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9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Font="1"/>
    <xf borderId="5" fillId="4" fontId="9" numFmtId="0" xfId="0" applyAlignment="1" applyBorder="1" applyFont="1">
      <alignment horizontal="center" readingOrder="0" vertical="center"/>
    </xf>
    <xf borderId="6" fillId="4" fontId="9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horizontal="center" readingOrder="0" vertical="center"/>
    </xf>
    <xf borderId="0" fillId="2" fontId="1" numFmtId="0" xfId="0" applyAlignment="1" applyFont="1">
      <alignment readingOrder="0"/>
    </xf>
    <xf borderId="0" fillId="10" fontId="10" numFmtId="0" xfId="0" applyFill="1" applyFont="1"/>
    <xf borderId="0" fillId="6" fontId="1" numFmtId="0" xfId="0" applyAlignment="1" applyFont="1">
      <alignment readingOrder="0"/>
    </xf>
    <xf borderId="0" fillId="6" fontId="1" numFmtId="165" xfId="0" applyAlignment="1" applyFont="1" applyNumberFormat="1">
      <alignment readingOrder="0"/>
    </xf>
    <xf borderId="0" fillId="6" fontId="1" numFmtId="166" xfId="0" applyAlignment="1" applyFont="1" applyNumberFormat="1">
      <alignment readingOrder="0"/>
    </xf>
    <xf borderId="10" fillId="2" fontId="1" numFmtId="0" xfId="0" applyAlignment="1" applyBorder="1" applyFont="1">
      <alignment readingOrder="0"/>
    </xf>
    <xf borderId="10" fillId="10" fontId="10" numFmtId="0" xfId="0" applyBorder="1" applyFont="1"/>
    <xf borderId="10" fillId="6" fontId="1" numFmtId="0" xfId="0" applyAlignment="1" applyBorder="1" applyFont="1">
      <alignment readingOrder="0"/>
    </xf>
    <xf borderId="10" fillId="6" fontId="1" numFmtId="165" xfId="0" applyAlignment="1" applyBorder="1" applyFont="1" applyNumberFormat="1">
      <alignment readingOrder="0"/>
    </xf>
    <xf borderId="10" fillId="6" fontId="1" numFmtId="166" xfId="0" applyAlignment="1" applyBorder="1" applyFont="1" applyNumberFormat="1">
      <alignment readingOrder="0"/>
    </xf>
    <xf borderId="13" fillId="2" fontId="1" numFmtId="0" xfId="0" applyAlignment="1" applyBorder="1" applyFont="1">
      <alignment readingOrder="0"/>
    </xf>
    <xf borderId="13" fillId="10" fontId="10" numFmtId="0" xfId="0" applyBorder="1" applyFont="1"/>
    <xf borderId="13" fillId="6" fontId="1" numFmtId="0" xfId="0" applyAlignment="1" applyBorder="1" applyFont="1">
      <alignment readingOrder="0"/>
    </xf>
    <xf borderId="13" fillId="6" fontId="1" numFmtId="165" xfId="0" applyAlignment="1" applyBorder="1" applyFont="1" applyNumberFormat="1">
      <alignment readingOrder="0"/>
    </xf>
    <xf borderId="13" fillId="6" fontId="1" numFmtId="166" xfId="0" applyAlignment="1" applyBorder="1" applyFont="1" applyNumberFormat="1">
      <alignment readingOrder="0"/>
    </xf>
    <xf borderId="13" fillId="5" fontId="5" numFmtId="0" xfId="0" applyAlignment="1" applyBorder="1" applyFont="1">
      <alignment horizontal="right" readingOrder="0" shrinkToFit="0" vertical="center" wrapText="1"/>
    </xf>
    <xf borderId="13" fillId="6" fontId="1" numFmtId="0" xfId="0" applyAlignment="1" applyBorder="1" applyFont="1">
      <alignment horizontal="right" shrinkToFit="0" vertical="center" wrapText="1"/>
    </xf>
    <xf borderId="12" fillId="5" fontId="5" numFmtId="0" xfId="0" applyAlignment="1" applyBorder="1" applyFont="1">
      <alignment horizontal="right" readingOrder="0" shrinkToFit="0" vertical="center" wrapText="1"/>
    </xf>
    <xf borderId="9" fillId="5" fontId="5" numFmtId="0" xfId="0" applyAlignment="1" applyBorder="1" applyFont="1">
      <alignment horizontal="right" readingOrder="0" shrinkToFit="0" vertical="center" wrapText="1"/>
    </xf>
    <xf borderId="0" fillId="5" fontId="5" numFmtId="0" xfId="0" applyAlignment="1" applyFont="1">
      <alignment horizontal="right" readingOrder="0" shrinkToFit="0" vertical="center" wrapText="1"/>
    </xf>
    <xf borderId="9" fillId="5" fontId="5" numFmtId="0" xfId="0" applyAlignment="1" applyBorder="1" applyFont="1">
      <alignment horizontal="right" shrinkToFit="0" vertical="center" wrapText="1"/>
    </xf>
    <xf borderId="10" fillId="5" fontId="5" numFmtId="0" xfId="0" applyAlignment="1" applyBorder="1" applyFont="1">
      <alignment horizontal="right" readingOrder="0" shrinkToFit="0" vertical="center" wrapText="1"/>
    </xf>
    <xf borderId="13" fillId="2" fontId="1" numFmtId="0" xfId="0" applyBorder="1" applyFont="1"/>
    <xf borderId="13" fillId="6" fontId="1" numFmtId="0" xfId="0" applyAlignment="1" applyBorder="1" applyFont="1">
      <alignment horizontal="right" readingOrder="0" shrinkToFit="0" vertical="center" wrapText="1"/>
    </xf>
    <xf borderId="13" fillId="6" fontId="1" numFmtId="0" xfId="0" applyBorder="1" applyFont="1"/>
    <xf borderId="5" fillId="4" fontId="11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horizontal="center" readingOrder="0" shrinkToFit="0" vertical="center" wrapText="1"/>
    </xf>
    <xf borderId="7" fillId="4" fontId="11" numFmtId="0" xfId="0" applyAlignment="1" applyBorder="1" applyFont="1">
      <alignment horizontal="center" readingOrder="0" vertical="center"/>
    </xf>
    <xf borderId="10" fillId="6" fontId="1" numFmtId="0" xfId="0" applyBorder="1" applyFont="1"/>
    <xf borderId="13" fillId="10" fontId="10" numFmtId="0" xfId="0" applyAlignment="1" applyBorder="1" applyFont="1">
      <alignment readingOrder="0"/>
    </xf>
    <xf borderId="13" fillId="6" fontId="1" numFmtId="167" xfId="0" applyAlignment="1" applyBorder="1" applyFont="1" applyNumberFormat="1">
      <alignment readingOrder="0"/>
    </xf>
    <xf borderId="0" fillId="11" fontId="1" numFmtId="0" xfId="0" applyFill="1" applyFont="1"/>
    <xf borderId="0" fillId="11" fontId="1" numFmtId="4" xfId="0" applyFont="1" applyNumberFormat="1"/>
    <xf borderId="0" fillId="11" fontId="1" numFmtId="168" xfId="0" applyFont="1" applyNumberFormat="1"/>
    <xf borderId="6" fillId="4" fontId="9" numFmtId="4" xfId="0" applyAlignment="1" applyBorder="1" applyFont="1" applyNumberFormat="1">
      <alignment horizontal="center" readingOrder="0" vertical="center"/>
    </xf>
    <xf borderId="6" fillId="4" fontId="9" numFmtId="168" xfId="0" applyAlignment="1" applyBorder="1" applyFont="1" applyNumberFormat="1">
      <alignment horizontal="center" readingOrder="0" vertical="center"/>
    </xf>
    <xf borderId="7" fillId="4" fontId="9" numFmtId="168" xfId="0" applyAlignment="1" applyBorder="1" applyFont="1" applyNumberFormat="1">
      <alignment horizontal="center" readingOrder="0" vertical="center"/>
    </xf>
    <xf borderId="10" fillId="10" fontId="1" numFmtId="0" xfId="0" applyBorder="1" applyFont="1"/>
    <xf borderId="10" fillId="6" fontId="1" numFmtId="4" xfId="0" applyAlignment="1" applyBorder="1" applyFont="1" applyNumberFormat="1">
      <alignment readingOrder="0"/>
    </xf>
    <xf borderId="10" fillId="6" fontId="1" numFmtId="168" xfId="0" applyAlignment="1" applyBorder="1" applyFont="1" applyNumberFormat="1">
      <alignment readingOrder="0"/>
    </xf>
    <xf borderId="13" fillId="10" fontId="1" numFmtId="0" xfId="0" applyBorder="1" applyFont="1"/>
    <xf borderId="13" fillId="6" fontId="1" numFmtId="4" xfId="0" applyAlignment="1" applyBorder="1" applyFont="1" applyNumberFormat="1">
      <alignment readingOrder="0"/>
    </xf>
    <xf borderId="13" fillId="6" fontId="1" numFmtId="168" xfId="0" applyAlignment="1" applyBorder="1" applyFont="1" applyNumberFormat="1">
      <alignment readingOrder="0"/>
    </xf>
    <xf borderId="0" fillId="5" fontId="1" numFmtId="0" xfId="0" applyAlignment="1" applyFont="1">
      <alignment horizontal="center"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6.75"/>
    <col customWidth="1" min="3" max="3" width="30.13"/>
    <col customWidth="1" min="4" max="4" width="14.75"/>
    <col customWidth="1" min="5" max="5" width="13.38"/>
    <col customWidth="1" min="6" max="6" width="17.38"/>
    <col customWidth="1" min="7" max="7" width="25.38"/>
  </cols>
  <sheetData>
    <row r="1" ht="40.5" customHeight="1">
      <c r="A1" s="1"/>
      <c r="B1" s="2" t="s">
        <v>0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5"/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/>
      <c r="B3" s="10" t="s">
        <v>7</v>
      </c>
      <c r="C3" s="11" t="s">
        <v>8</v>
      </c>
      <c r="D3" s="11" t="s">
        <v>9</v>
      </c>
      <c r="E3" s="11"/>
      <c r="F3" s="11"/>
      <c r="G3" s="12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3" t="s">
        <v>10</v>
      </c>
      <c r="C4" s="14" t="s">
        <v>11</v>
      </c>
      <c r="D4" s="14" t="s">
        <v>12</v>
      </c>
      <c r="E4" s="14"/>
      <c r="F4" s="14"/>
      <c r="G4" s="1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/>
      <c r="B5" s="13" t="s">
        <v>13</v>
      </c>
      <c r="C5" s="14" t="s">
        <v>14</v>
      </c>
      <c r="D5" s="14" t="s">
        <v>15</v>
      </c>
      <c r="E5" s="14"/>
      <c r="F5" s="14"/>
      <c r="G5" s="15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/>
      <c r="B6" s="13" t="s">
        <v>16</v>
      </c>
      <c r="C6" s="14" t="s">
        <v>17</v>
      </c>
      <c r="D6" s="14" t="s">
        <v>12</v>
      </c>
      <c r="E6" s="14"/>
      <c r="F6" s="14"/>
      <c r="G6" s="1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"/>
      <c r="B7" s="13" t="s">
        <v>18</v>
      </c>
      <c r="C7" s="14" t="s">
        <v>19</v>
      </c>
      <c r="D7" s="14" t="s">
        <v>20</v>
      </c>
      <c r="E7" s="14"/>
      <c r="F7" s="14"/>
      <c r="G7" s="15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9"/>
      <c r="B8" s="13" t="s">
        <v>21</v>
      </c>
      <c r="C8" s="14" t="s">
        <v>22</v>
      </c>
      <c r="D8" s="14" t="s">
        <v>23</v>
      </c>
      <c r="E8" s="14"/>
      <c r="F8" s="14"/>
      <c r="G8" s="15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9"/>
      <c r="B9" s="13" t="s">
        <v>24</v>
      </c>
      <c r="C9" s="14" t="s">
        <v>25</v>
      </c>
      <c r="D9" s="14" t="s">
        <v>26</v>
      </c>
      <c r="E9" s="14"/>
      <c r="F9" s="14"/>
      <c r="G9" s="15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"/>
      <c r="B10" s="13" t="s">
        <v>27</v>
      </c>
      <c r="C10" s="14" t="s">
        <v>28</v>
      </c>
      <c r="D10" s="14" t="s">
        <v>29</v>
      </c>
      <c r="E10" s="14"/>
      <c r="F10" s="14"/>
      <c r="G10" s="15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13" t="s">
        <v>30</v>
      </c>
      <c r="C11" s="14" t="s">
        <v>31</v>
      </c>
      <c r="D11" s="14" t="s">
        <v>32</v>
      </c>
      <c r="E11" s="14"/>
      <c r="F11" s="14"/>
      <c r="G11" s="1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9"/>
      <c r="B12" s="13" t="s">
        <v>33</v>
      </c>
      <c r="C12" s="14" t="s">
        <v>34</v>
      </c>
      <c r="D12" s="14" t="s">
        <v>35</v>
      </c>
      <c r="E12" s="14"/>
      <c r="F12" s="14"/>
      <c r="G12" s="1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9"/>
      <c r="B13" s="13" t="s">
        <v>36</v>
      </c>
      <c r="C13" s="14" t="s">
        <v>37</v>
      </c>
      <c r="D13" s="16"/>
      <c r="E13" s="14"/>
      <c r="F13" s="16"/>
      <c r="G13" s="1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9"/>
      <c r="B14" s="13" t="s">
        <v>38</v>
      </c>
      <c r="C14" s="14" t="s">
        <v>37</v>
      </c>
      <c r="D14" s="16"/>
      <c r="E14" s="14"/>
      <c r="F14" s="16"/>
      <c r="G14" s="1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9"/>
      <c r="B15" s="13" t="s">
        <v>39</v>
      </c>
      <c r="C15" s="14" t="s">
        <v>40</v>
      </c>
      <c r="D15" s="16"/>
      <c r="E15" s="14"/>
      <c r="F15" s="16"/>
      <c r="G15" s="1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/>
      <c r="B16" s="13" t="s">
        <v>41</v>
      </c>
      <c r="C16" s="14" t="s">
        <v>42</v>
      </c>
      <c r="D16" s="14" t="s">
        <v>43</v>
      </c>
      <c r="E16" s="14"/>
      <c r="F16" s="14"/>
      <c r="G16" s="15"/>
      <c r="H16" s="5"/>
      <c r="I16" s="1"/>
      <c r="J16" s="1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9"/>
      <c r="B17" s="13" t="s">
        <v>44</v>
      </c>
      <c r="C17" s="14" t="s">
        <v>37</v>
      </c>
      <c r="D17" s="14" t="s">
        <v>45</v>
      </c>
      <c r="E17" s="14">
        <v>15.0</v>
      </c>
      <c r="F17" s="14"/>
      <c r="G17" s="1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9"/>
      <c r="B18" s="13" t="s">
        <v>46</v>
      </c>
      <c r="C18" s="14" t="s">
        <v>47</v>
      </c>
      <c r="D18" s="14" t="s">
        <v>48</v>
      </c>
      <c r="E18" s="14">
        <v>20.0</v>
      </c>
      <c r="F18" s="14"/>
      <c r="G18" s="1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9"/>
      <c r="B19" s="13" t="s">
        <v>49</v>
      </c>
      <c r="C19" s="14" t="s">
        <v>50</v>
      </c>
      <c r="D19" s="14" t="s">
        <v>51</v>
      </c>
      <c r="E19" s="14">
        <v>50.0</v>
      </c>
      <c r="F19" s="14"/>
      <c r="G19" s="1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"/>
      <c r="B20" s="13" t="s">
        <v>52</v>
      </c>
      <c r="C20" s="14" t="s">
        <v>37</v>
      </c>
      <c r="D20" s="14" t="s">
        <v>32</v>
      </c>
      <c r="E20" s="14"/>
      <c r="F20" s="14"/>
      <c r="G20" s="1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9"/>
      <c r="B21" s="13" t="s">
        <v>53</v>
      </c>
      <c r="C21" s="14" t="s">
        <v>54</v>
      </c>
      <c r="D21" s="16"/>
      <c r="E21" s="14"/>
      <c r="F21" s="16"/>
      <c r="G21" s="1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9"/>
      <c r="B22" s="13" t="s">
        <v>53</v>
      </c>
      <c r="C22" s="14" t="s">
        <v>55</v>
      </c>
      <c r="D22" s="16"/>
      <c r="E22" s="14"/>
      <c r="F22" s="16"/>
      <c r="G22" s="1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"/>
      <c r="B23" s="13" t="s">
        <v>56</v>
      </c>
      <c r="C23" s="14" t="s">
        <v>57</v>
      </c>
      <c r="D23" s="16"/>
      <c r="E23" s="14"/>
      <c r="F23" s="16"/>
      <c r="G23" s="1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9"/>
      <c r="B24" s="13" t="s">
        <v>58</v>
      </c>
      <c r="C24" s="14" t="s">
        <v>59</v>
      </c>
      <c r="D24" s="16"/>
      <c r="E24" s="14"/>
      <c r="F24" s="16"/>
      <c r="G24" s="1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9"/>
      <c r="B25" s="13" t="s">
        <v>60</v>
      </c>
      <c r="C25" s="14" t="s">
        <v>61</v>
      </c>
      <c r="D25" s="16"/>
      <c r="E25" s="14"/>
      <c r="F25" s="16"/>
      <c r="G25" s="1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9"/>
      <c r="B26" s="13" t="s">
        <v>62</v>
      </c>
      <c r="C26" s="14" t="s">
        <v>63</v>
      </c>
      <c r="D26" s="14" t="s">
        <v>64</v>
      </c>
      <c r="E26" s="14"/>
      <c r="F26" s="14"/>
      <c r="G26" s="1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9"/>
      <c r="B27" s="13" t="s">
        <v>65</v>
      </c>
      <c r="C27" s="14" t="s">
        <v>66</v>
      </c>
      <c r="D27" s="14" t="s">
        <v>29</v>
      </c>
      <c r="E27" s="14"/>
      <c r="F27" s="14"/>
      <c r="G27" s="1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9"/>
      <c r="B28" s="13" t="s">
        <v>67</v>
      </c>
      <c r="C28" s="14" t="s">
        <v>68</v>
      </c>
      <c r="D28" s="14" t="s">
        <v>69</v>
      </c>
      <c r="E28" s="14"/>
      <c r="F28" s="14"/>
      <c r="G28" s="1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9"/>
      <c r="B29" s="13" t="s">
        <v>70</v>
      </c>
      <c r="C29" s="14" t="s">
        <v>71</v>
      </c>
      <c r="D29" s="14" t="s">
        <v>69</v>
      </c>
      <c r="E29" s="14"/>
      <c r="F29" s="14"/>
      <c r="G29" s="1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9"/>
      <c r="B30" s="13" t="s">
        <v>72</v>
      </c>
      <c r="C30" s="14" t="s">
        <v>73</v>
      </c>
      <c r="D30" s="14" t="s">
        <v>69</v>
      </c>
      <c r="E30" s="14"/>
      <c r="F30" s="14"/>
      <c r="G30" s="1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9"/>
      <c r="B31" s="13" t="s">
        <v>74</v>
      </c>
      <c r="C31" s="14" t="s">
        <v>75</v>
      </c>
      <c r="D31" s="14" t="s">
        <v>76</v>
      </c>
      <c r="E31" s="14"/>
      <c r="F31" s="14"/>
      <c r="G31" s="1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"/>
      <c r="B32" s="13" t="s">
        <v>77</v>
      </c>
      <c r="C32" s="14" t="s">
        <v>78</v>
      </c>
      <c r="D32" s="14" t="s">
        <v>79</v>
      </c>
      <c r="E32" s="14"/>
      <c r="F32" s="14"/>
      <c r="G32" s="1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9"/>
      <c r="B33" s="13" t="s">
        <v>80</v>
      </c>
      <c r="C33" s="14" t="s">
        <v>81</v>
      </c>
      <c r="D33" s="14" t="s">
        <v>82</v>
      </c>
      <c r="E33" s="14">
        <v>14.0</v>
      </c>
      <c r="F33" s="14"/>
      <c r="G33" s="1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9"/>
      <c r="B34" s="13" t="s">
        <v>83</v>
      </c>
      <c r="C34" s="14" t="s">
        <v>84</v>
      </c>
      <c r="D34" s="14" t="s">
        <v>85</v>
      </c>
      <c r="E34" s="14">
        <v>5.0</v>
      </c>
      <c r="F34" s="14"/>
      <c r="G34" s="1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9"/>
      <c r="B35" s="13" t="s">
        <v>86</v>
      </c>
      <c r="C35" s="14" t="s">
        <v>87</v>
      </c>
      <c r="D35" s="14" t="s">
        <v>88</v>
      </c>
      <c r="E35" s="14"/>
      <c r="F35" s="14"/>
      <c r="G35" s="1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9"/>
      <c r="B36" s="13" t="s">
        <v>89</v>
      </c>
      <c r="C36" s="14" t="s">
        <v>90</v>
      </c>
      <c r="D36" s="16"/>
      <c r="E36" s="14"/>
      <c r="F36" s="16"/>
      <c r="G36" s="1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"/>
      <c r="B37" s="13" t="s">
        <v>91</v>
      </c>
      <c r="C37" s="14" t="s">
        <v>92</v>
      </c>
      <c r="D37" s="16"/>
      <c r="E37" s="14"/>
      <c r="F37" s="16"/>
      <c r="G37" s="1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"/>
      <c r="B38" s="13" t="s">
        <v>93</v>
      </c>
      <c r="C38" s="14" t="s">
        <v>94</v>
      </c>
      <c r="D38" s="16"/>
      <c r="E38" s="14">
        <v>14.0</v>
      </c>
      <c r="F38" s="16"/>
      <c r="G38" s="1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9"/>
      <c r="B39" s="13" t="s">
        <v>95</v>
      </c>
      <c r="C39" s="14" t="s">
        <v>96</v>
      </c>
      <c r="D39" s="16"/>
      <c r="E39" s="14"/>
      <c r="F39" s="16"/>
      <c r="G39" s="1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9"/>
      <c r="B40" s="13" t="s">
        <v>97</v>
      </c>
      <c r="C40" s="14" t="s">
        <v>98</v>
      </c>
      <c r="D40" s="14" t="s">
        <v>99</v>
      </c>
      <c r="E40" s="14">
        <v>5.0</v>
      </c>
      <c r="F40" s="14"/>
      <c r="G40" s="1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9"/>
      <c r="B41" s="13" t="s">
        <v>100</v>
      </c>
      <c r="C41" s="14" t="s">
        <v>101</v>
      </c>
      <c r="D41" s="16"/>
      <c r="E41" s="14"/>
      <c r="F41" s="16"/>
      <c r="G41" s="1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9"/>
      <c r="B42" s="13" t="s">
        <v>102</v>
      </c>
      <c r="C42" s="14" t="s">
        <v>103</v>
      </c>
      <c r="D42" s="16"/>
      <c r="E42" s="14"/>
      <c r="F42" s="16"/>
      <c r="G42" s="1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9"/>
      <c r="B43" s="13" t="s">
        <v>104</v>
      </c>
      <c r="C43" s="14" t="s">
        <v>105</v>
      </c>
      <c r="D43" s="16"/>
      <c r="E43" s="14"/>
      <c r="F43" s="16"/>
      <c r="G43" s="1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"/>
      <c r="B44" s="13" t="s">
        <v>106</v>
      </c>
      <c r="C44" s="14" t="s">
        <v>107</v>
      </c>
      <c r="D44" s="16"/>
      <c r="E44" s="14">
        <v>0.0</v>
      </c>
      <c r="F44" s="16"/>
      <c r="G44" s="1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9"/>
      <c r="B45" s="13" t="s">
        <v>108</v>
      </c>
      <c r="C45" s="14" t="s">
        <v>109</v>
      </c>
      <c r="D45" s="16"/>
      <c r="E45" s="14">
        <v>1.0</v>
      </c>
      <c r="F45" s="16"/>
      <c r="G45" s="1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9"/>
      <c r="B46" s="13" t="s">
        <v>110</v>
      </c>
      <c r="C46" s="14" t="s">
        <v>111</v>
      </c>
      <c r="D46" s="14" t="s">
        <v>99</v>
      </c>
      <c r="E46" s="14"/>
      <c r="F46" s="14"/>
      <c r="G46" s="1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9"/>
      <c r="B47" s="13" t="s">
        <v>112</v>
      </c>
      <c r="C47" s="14" t="s">
        <v>113</v>
      </c>
      <c r="D47" s="16"/>
      <c r="E47" s="14">
        <v>4.0</v>
      </c>
      <c r="F47" s="16"/>
      <c r="G47" s="1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9"/>
      <c r="B48" s="13" t="s">
        <v>93</v>
      </c>
      <c r="C48" s="14" t="s">
        <v>94</v>
      </c>
      <c r="D48" s="16"/>
      <c r="E48" s="14">
        <v>21.0</v>
      </c>
      <c r="F48" s="16"/>
      <c r="G48" s="1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"/>
      <c r="B49" s="13" t="s">
        <v>114</v>
      </c>
      <c r="C49" s="14" t="s">
        <v>115</v>
      </c>
      <c r="D49" s="16"/>
      <c r="E49" s="14">
        <v>12.0</v>
      </c>
      <c r="F49" s="16"/>
      <c r="G49" s="1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9"/>
      <c r="B50" s="13" t="s">
        <v>116</v>
      </c>
      <c r="C50" s="14" t="s">
        <v>117</v>
      </c>
      <c r="D50" s="14" t="s">
        <v>118</v>
      </c>
      <c r="E50" s="14"/>
      <c r="F50" s="14"/>
      <c r="G50" s="1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9"/>
      <c r="B51" s="13" t="s">
        <v>119</v>
      </c>
      <c r="C51" s="14" t="s">
        <v>120</v>
      </c>
      <c r="D51" s="14" t="s">
        <v>121</v>
      </c>
      <c r="E51" s="14"/>
      <c r="F51" s="14"/>
      <c r="G51" s="1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9"/>
      <c r="B52" s="13" t="s">
        <v>122</v>
      </c>
      <c r="C52" s="14" t="s">
        <v>123</v>
      </c>
      <c r="D52" s="14" t="s">
        <v>124</v>
      </c>
      <c r="E52" s="14"/>
      <c r="F52" s="14"/>
      <c r="G52" s="1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9"/>
      <c r="B53" s="13" t="s">
        <v>125</v>
      </c>
      <c r="C53" s="14" t="s">
        <v>126</v>
      </c>
      <c r="D53" s="14" t="s">
        <v>127</v>
      </c>
      <c r="E53" s="14"/>
      <c r="F53" s="14"/>
      <c r="G53" s="1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9"/>
      <c r="B54" s="13" t="s">
        <v>128</v>
      </c>
      <c r="C54" s="14" t="s">
        <v>129</v>
      </c>
      <c r="D54" s="14" t="s">
        <v>130</v>
      </c>
      <c r="E54" s="14"/>
      <c r="F54" s="14"/>
      <c r="G54" s="1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9"/>
      <c r="B55" s="13" t="s">
        <v>131</v>
      </c>
      <c r="C55" s="14" t="s">
        <v>132</v>
      </c>
      <c r="D55" s="14" t="s">
        <v>133</v>
      </c>
      <c r="E55" s="14"/>
      <c r="F55" s="14"/>
      <c r="G55" s="1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9"/>
      <c r="B56" s="13" t="s">
        <v>134</v>
      </c>
      <c r="C56" s="14" t="s">
        <v>135</v>
      </c>
      <c r="D56" s="16"/>
      <c r="E56" s="14"/>
      <c r="F56" s="16"/>
      <c r="G56" s="1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9"/>
      <c r="B57" s="13" t="s">
        <v>136</v>
      </c>
      <c r="C57" s="14" t="s">
        <v>137</v>
      </c>
      <c r="D57" s="16"/>
      <c r="E57" s="14"/>
      <c r="F57" s="16"/>
      <c r="G57" s="1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9"/>
      <c r="B58" s="13" t="s">
        <v>138</v>
      </c>
      <c r="C58" s="14" t="s">
        <v>139</v>
      </c>
      <c r="D58" s="16"/>
      <c r="E58" s="14"/>
      <c r="F58" s="16"/>
      <c r="G58" s="1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"/>
      <c r="B59" s="13" t="s">
        <v>140</v>
      </c>
      <c r="C59" s="14" t="s">
        <v>141</v>
      </c>
      <c r="D59" s="16"/>
      <c r="E59" s="14"/>
      <c r="F59" s="16"/>
      <c r="G59" s="1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/>
      <c r="B60" s="13" t="s">
        <v>142</v>
      </c>
      <c r="C60" s="14" t="s">
        <v>143</v>
      </c>
      <c r="D60" s="16"/>
      <c r="E60" s="14"/>
      <c r="F60" s="16"/>
      <c r="G60" s="1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"/>
      <c r="B61" s="13" t="s">
        <v>144</v>
      </c>
      <c r="C61" s="14" t="s">
        <v>145</v>
      </c>
      <c r="D61" s="14" t="s">
        <v>146</v>
      </c>
      <c r="E61" s="14"/>
      <c r="F61" s="14"/>
      <c r="G61" s="1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9"/>
      <c r="B62" s="13" t="s">
        <v>147</v>
      </c>
      <c r="C62" s="14" t="s">
        <v>148</v>
      </c>
      <c r="D62" s="16"/>
      <c r="E62" s="14">
        <v>5.0</v>
      </c>
      <c r="F62" s="16"/>
      <c r="G62" s="1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9"/>
      <c r="B63" s="13" t="s">
        <v>149</v>
      </c>
      <c r="C63" s="14" t="s">
        <v>150</v>
      </c>
      <c r="D63" s="16"/>
      <c r="E63" s="14"/>
      <c r="F63" s="16"/>
      <c r="G63" s="1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9"/>
      <c r="B64" s="13" t="s">
        <v>151</v>
      </c>
      <c r="C64" s="14" t="s">
        <v>152</v>
      </c>
      <c r="D64" s="16"/>
      <c r="E64" s="14"/>
      <c r="F64" s="16"/>
      <c r="G64" s="1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9"/>
      <c r="B65" s="13" t="s">
        <v>153</v>
      </c>
      <c r="C65" s="14" t="s">
        <v>154</v>
      </c>
      <c r="D65" s="16"/>
      <c r="E65" s="14"/>
      <c r="F65" s="16"/>
      <c r="G65" s="1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9"/>
      <c r="B66" s="13" t="s">
        <v>155</v>
      </c>
      <c r="C66" s="14" t="s">
        <v>156</v>
      </c>
      <c r="D66" s="14" t="s">
        <v>157</v>
      </c>
      <c r="E66" s="14"/>
      <c r="F66" s="14"/>
      <c r="G66" s="1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9"/>
      <c r="B67" s="13" t="s">
        <v>158</v>
      </c>
      <c r="C67" s="14" t="s">
        <v>159</v>
      </c>
      <c r="D67" s="14" t="s">
        <v>160</v>
      </c>
      <c r="E67" s="14"/>
      <c r="F67" s="14"/>
      <c r="G67" s="1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9"/>
      <c r="B68" s="13" t="s">
        <v>161</v>
      </c>
      <c r="C68" s="14" t="s">
        <v>162</v>
      </c>
      <c r="D68" s="14" t="s">
        <v>160</v>
      </c>
      <c r="E68" s="14"/>
      <c r="F68" s="14"/>
      <c r="G68" s="1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9"/>
      <c r="B69" s="13" t="s">
        <v>163</v>
      </c>
      <c r="C69" s="14" t="s">
        <v>163</v>
      </c>
      <c r="D69" s="16"/>
      <c r="E69" s="14"/>
      <c r="F69" s="16"/>
      <c r="G69" s="1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9"/>
      <c r="B70" s="18"/>
      <c r="C70" s="16"/>
      <c r="D70" s="16"/>
      <c r="E70" s="14">
        <v>8.0</v>
      </c>
      <c r="F70" s="16"/>
      <c r="G70" s="1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9"/>
      <c r="B71" s="13" t="s">
        <v>164</v>
      </c>
      <c r="C71" s="14" t="s">
        <v>165</v>
      </c>
      <c r="D71" s="14" t="s">
        <v>166</v>
      </c>
      <c r="E71" s="14">
        <v>7.0</v>
      </c>
      <c r="F71" s="14"/>
      <c r="G71" s="1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9"/>
      <c r="B72" s="13" t="s">
        <v>167</v>
      </c>
      <c r="C72" s="14" t="s">
        <v>168</v>
      </c>
      <c r="D72" s="14" t="s">
        <v>169</v>
      </c>
      <c r="E72" s="14">
        <v>3.0</v>
      </c>
      <c r="F72" s="14"/>
      <c r="G72" s="1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9"/>
      <c r="B73" s="13" t="s">
        <v>170</v>
      </c>
      <c r="C73" s="14" t="s">
        <v>171</v>
      </c>
      <c r="D73" s="16"/>
      <c r="E73" s="14"/>
      <c r="F73" s="16"/>
      <c r="G73" s="1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9"/>
      <c r="B74" s="13" t="s">
        <v>172</v>
      </c>
      <c r="C74" s="14" t="s">
        <v>173</v>
      </c>
      <c r="D74" s="14" t="s">
        <v>174</v>
      </c>
      <c r="E74" s="14"/>
      <c r="F74" s="14"/>
      <c r="G74" s="1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9"/>
      <c r="B75" s="13" t="s">
        <v>175</v>
      </c>
      <c r="C75" s="16"/>
      <c r="D75" s="14" t="s">
        <v>174</v>
      </c>
      <c r="E75" s="14"/>
      <c r="F75" s="14"/>
      <c r="G75" s="1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9"/>
      <c r="B76" s="13" t="s">
        <v>176</v>
      </c>
      <c r="C76" s="16"/>
      <c r="D76" s="16"/>
      <c r="E76" s="14"/>
      <c r="F76" s="16"/>
      <c r="G76" s="1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9"/>
      <c r="B77" s="13" t="s">
        <v>177</v>
      </c>
      <c r="C77" s="14" t="s">
        <v>178</v>
      </c>
      <c r="D77" s="14" t="s">
        <v>179</v>
      </c>
      <c r="E77" s="14">
        <v>0.0</v>
      </c>
      <c r="F77" s="14"/>
      <c r="G77" s="19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9"/>
      <c r="B78" s="13" t="s">
        <v>180</v>
      </c>
      <c r="C78" s="14" t="s">
        <v>181</v>
      </c>
      <c r="D78" s="16"/>
      <c r="E78" s="14"/>
      <c r="F78" s="16"/>
      <c r="G78" s="1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9"/>
      <c r="B79" s="13" t="s">
        <v>182</v>
      </c>
      <c r="C79" s="14" t="s">
        <v>183</v>
      </c>
      <c r="D79" s="16"/>
      <c r="E79" s="14"/>
      <c r="F79" s="16"/>
      <c r="G79" s="1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9"/>
      <c r="B80" s="13" t="s">
        <v>184</v>
      </c>
      <c r="C80" s="14" t="s">
        <v>185</v>
      </c>
      <c r="D80" s="16"/>
      <c r="E80" s="14"/>
      <c r="F80" s="16"/>
      <c r="G80" s="1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9"/>
      <c r="B81" s="13" t="s">
        <v>186</v>
      </c>
      <c r="C81" s="14" t="s">
        <v>187</v>
      </c>
      <c r="D81" s="16"/>
      <c r="E81" s="14"/>
      <c r="F81" s="16"/>
      <c r="G81" s="20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9"/>
      <c r="B82" s="13" t="s">
        <v>188</v>
      </c>
      <c r="C82" s="14" t="s">
        <v>189</v>
      </c>
      <c r="D82" s="14" t="s">
        <v>190</v>
      </c>
      <c r="E82" s="14"/>
      <c r="F82" s="14"/>
      <c r="G82" s="20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9"/>
      <c r="B83" s="13" t="s">
        <v>191</v>
      </c>
      <c r="C83" s="14" t="s">
        <v>192</v>
      </c>
      <c r="D83" s="14" t="s">
        <v>190</v>
      </c>
      <c r="E83" s="14">
        <v>1.0</v>
      </c>
      <c r="F83" s="14"/>
      <c r="G83" s="19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9"/>
      <c r="B84" s="13" t="s">
        <v>193</v>
      </c>
      <c r="C84" s="14" t="s">
        <v>194</v>
      </c>
      <c r="D84" s="14" t="s">
        <v>190</v>
      </c>
      <c r="E84" s="14">
        <v>1.0</v>
      </c>
      <c r="F84" s="14"/>
      <c r="G84" s="1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9"/>
      <c r="B85" s="13" t="s">
        <v>195</v>
      </c>
      <c r="C85" s="14" t="s">
        <v>196</v>
      </c>
      <c r="D85" s="14" t="s">
        <v>197</v>
      </c>
      <c r="E85" s="14">
        <v>1.0</v>
      </c>
      <c r="F85" s="14"/>
      <c r="G85" s="1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9"/>
      <c r="B86" s="13" t="s">
        <v>198</v>
      </c>
      <c r="C86" s="14">
        <v>1623.0</v>
      </c>
      <c r="D86" s="14" t="s">
        <v>199</v>
      </c>
      <c r="E86" s="14">
        <v>1.0</v>
      </c>
      <c r="F86" s="14"/>
      <c r="G86" s="1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9"/>
      <c r="B87" s="13" t="s">
        <v>200</v>
      </c>
      <c r="C87" s="14" t="s">
        <v>201</v>
      </c>
      <c r="D87" s="14" t="s">
        <v>202</v>
      </c>
      <c r="E87" s="14"/>
      <c r="F87" s="14"/>
      <c r="G87" s="1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9"/>
      <c r="B88" s="13" t="s">
        <v>203</v>
      </c>
      <c r="C88" s="14" t="s">
        <v>204</v>
      </c>
      <c r="D88" s="14" t="s">
        <v>205</v>
      </c>
      <c r="E88" s="14">
        <v>2.0</v>
      </c>
      <c r="F88" s="14"/>
      <c r="G88" s="1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9"/>
      <c r="B89" s="13" t="s">
        <v>206</v>
      </c>
      <c r="C89" s="14" t="s">
        <v>207</v>
      </c>
      <c r="D89" s="14" t="s">
        <v>208</v>
      </c>
      <c r="E89" s="14"/>
      <c r="F89" s="14"/>
      <c r="G89" s="1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9"/>
      <c r="B90" s="13" t="s">
        <v>209</v>
      </c>
      <c r="C90" s="14" t="s">
        <v>210</v>
      </c>
      <c r="D90" s="14" t="s">
        <v>211</v>
      </c>
      <c r="E90" s="14"/>
      <c r="F90" s="14"/>
      <c r="G90" s="1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9"/>
      <c r="B91" s="13" t="s">
        <v>212</v>
      </c>
      <c r="C91" s="14" t="s">
        <v>213</v>
      </c>
      <c r="D91" s="16"/>
      <c r="E91" s="14"/>
      <c r="F91" s="16"/>
      <c r="G91" s="1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9"/>
      <c r="B92" s="13" t="s">
        <v>214</v>
      </c>
      <c r="C92" s="14" t="s">
        <v>215</v>
      </c>
      <c r="D92" s="16"/>
      <c r="E92" s="14"/>
      <c r="F92" s="16"/>
      <c r="G92" s="1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9"/>
      <c r="B93" s="13" t="s">
        <v>216</v>
      </c>
      <c r="C93" s="14" t="s">
        <v>217</v>
      </c>
      <c r="D93" s="16"/>
      <c r="E93" s="14"/>
      <c r="F93" s="16"/>
      <c r="G93" s="1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9"/>
      <c r="B94" s="13" t="s">
        <v>218</v>
      </c>
      <c r="C94" s="14" t="s">
        <v>219</v>
      </c>
      <c r="D94" s="14" t="s">
        <v>211</v>
      </c>
      <c r="E94" s="14"/>
      <c r="F94" s="14"/>
      <c r="G94" s="1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9"/>
      <c r="B95" s="13" t="s">
        <v>220</v>
      </c>
      <c r="C95" s="14" t="s">
        <v>221</v>
      </c>
      <c r="D95" s="14" t="s">
        <v>222</v>
      </c>
      <c r="E95" s="14"/>
      <c r="F95" s="14"/>
      <c r="G95" s="1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9"/>
      <c r="B96" s="13" t="s">
        <v>223</v>
      </c>
      <c r="C96" s="14" t="s">
        <v>224</v>
      </c>
      <c r="D96" s="14" t="s">
        <v>225</v>
      </c>
      <c r="E96" s="14"/>
      <c r="F96" s="14"/>
      <c r="G96" s="1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9"/>
      <c r="B97" s="13" t="s">
        <v>226</v>
      </c>
      <c r="C97" s="14" t="s">
        <v>227</v>
      </c>
      <c r="D97" s="16"/>
      <c r="E97" s="14"/>
      <c r="F97" s="16"/>
      <c r="G97" s="1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9"/>
      <c r="B98" s="13" t="s">
        <v>228</v>
      </c>
      <c r="C98" s="14" t="s">
        <v>229</v>
      </c>
      <c r="D98" s="14" t="s">
        <v>230</v>
      </c>
      <c r="E98" s="14"/>
      <c r="F98" s="14"/>
      <c r="G98" s="1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9"/>
      <c r="B99" s="13" t="s">
        <v>231</v>
      </c>
      <c r="C99" s="16"/>
      <c r="D99" s="14" t="s">
        <v>232</v>
      </c>
      <c r="E99" s="14">
        <v>8.0</v>
      </c>
      <c r="F99" s="14"/>
      <c r="G99" s="1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9"/>
      <c r="B100" s="13" t="s">
        <v>233</v>
      </c>
      <c r="C100" s="14" t="s">
        <v>234</v>
      </c>
      <c r="D100" s="14" t="s">
        <v>235</v>
      </c>
      <c r="E100" s="14">
        <v>2.0</v>
      </c>
      <c r="F100" s="14"/>
      <c r="G100" s="1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9"/>
      <c r="B101" s="13" t="s">
        <v>236</v>
      </c>
      <c r="C101" s="16"/>
      <c r="D101" s="16"/>
      <c r="E101" s="14"/>
      <c r="F101" s="16"/>
      <c r="G101" s="1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9"/>
      <c r="B102" s="13" t="s">
        <v>237</v>
      </c>
      <c r="C102" s="14" t="s">
        <v>238</v>
      </c>
      <c r="D102" s="16"/>
      <c r="E102" s="14"/>
      <c r="F102" s="16"/>
      <c r="G102" s="1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9"/>
      <c r="B103" s="13" t="s">
        <v>239</v>
      </c>
      <c r="C103" s="14" t="s">
        <v>240</v>
      </c>
      <c r="D103" s="16"/>
      <c r="E103" s="14">
        <v>12.0</v>
      </c>
      <c r="F103" s="16"/>
      <c r="G103" s="1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9"/>
      <c r="B104" s="13" t="s">
        <v>241</v>
      </c>
      <c r="C104" s="14" t="s">
        <v>242</v>
      </c>
      <c r="D104" s="14" t="s">
        <v>243</v>
      </c>
      <c r="E104" s="14">
        <v>11.0</v>
      </c>
      <c r="F104" s="14"/>
      <c r="G104" s="1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9"/>
      <c r="B105" s="13" t="s">
        <v>244</v>
      </c>
      <c r="C105" s="14" t="s">
        <v>245</v>
      </c>
      <c r="D105" s="14" t="s">
        <v>190</v>
      </c>
      <c r="E105" s="14">
        <v>25.0</v>
      </c>
      <c r="F105" s="14"/>
      <c r="G105" s="1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9"/>
      <c r="B106" s="13" t="s">
        <v>246</v>
      </c>
      <c r="C106" s="16"/>
      <c r="D106" s="14" t="s">
        <v>247</v>
      </c>
      <c r="E106" s="14">
        <v>20.0</v>
      </c>
      <c r="F106" s="14"/>
      <c r="G106" s="1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9"/>
      <c r="B107" s="13" t="s">
        <v>248</v>
      </c>
      <c r="C107" s="14" t="s">
        <v>249</v>
      </c>
      <c r="D107" s="14" t="s">
        <v>250</v>
      </c>
      <c r="E107" s="14">
        <v>9.0</v>
      </c>
      <c r="F107" s="14"/>
      <c r="G107" s="1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9"/>
      <c r="B108" s="13" t="s">
        <v>251</v>
      </c>
      <c r="C108" s="14" t="s">
        <v>252</v>
      </c>
      <c r="D108" s="16"/>
      <c r="E108" s="14">
        <v>5.0</v>
      </c>
      <c r="F108" s="16"/>
      <c r="G108" s="1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9"/>
      <c r="B109" s="13" t="s">
        <v>253</v>
      </c>
      <c r="C109" s="14" t="s">
        <v>254</v>
      </c>
      <c r="D109" s="16"/>
      <c r="E109" s="14"/>
      <c r="F109" s="16"/>
      <c r="G109" s="1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9"/>
      <c r="B110" s="13" t="s">
        <v>255</v>
      </c>
      <c r="C110" s="14" t="s">
        <v>256</v>
      </c>
      <c r="D110" s="16"/>
      <c r="E110" s="14"/>
      <c r="F110" s="16"/>
      <c r="G110" s="1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9"/>
      <c r="B111" s="13" t="s">
        <v>257</v>
      </c>
      <c r="C111" s="14" t="s">
        <v>258</v>
      </c>
      <c r="D111" s="16"/>
      <c r="E111" s="14"/>
      <c r="F111" s="16"/>
      <c r="G111" s="1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9"/>
      <c r="B112" s="13" t="s">
        <v>259</v>
      </c>
      <c r="C112" s="14" t="s">
        <v>260</v>
      </c>
      <c r="D112" s="16"/>
      <c r="E112" s="14"/>
      <c r="F112" s="16"/>
      <c r="G112" s="1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9"/>
      <c r="B113" s="13" t="s">
        <v>261</v>
      </c>
      <c r="C113" s="14" t="s">
        <v>262</v>
      </c>
      <c r="D113" s="14" t="s">
        <v>263</v>
      </c>
      <c r="E113" s="14"/>
      <c r="F113" s="16"/>
      <c r="G113" s="1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9"/>
      <c r="B114" s="13" t="s">
        <v>264</v>
      </c>
      <c r="C114" s="14" t="s">
        <v>265</v>
      </c>
      <c r="D114" s="14" t="s">
        <v>266</v>
      </c>
      <c r="E114" s="14"/>
      <c r="F114" s="14"/>
      <c r="G114" s="1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9"/>
      <c r="B115" s="13" t="s">
        <v>267</v>
      </c>
      <c r="C115" s="14">
        <v>6013.0</v>
      </c>
      <c r="D115" s="21"/>
      <c r="E115" s="14"/>
      <c r="F115" s="16"/>
      <c r="G115" s="1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9"/>
      <c r="B116" s="13" t="s">
        <v>268</v>
      </c>
      <c r="C116" s="14" t="s">
        <v>269</v>
      </c>
      <c r="D116" s="21"/>
      <c r="E116" s="14"/>
      <c r="F116" s="16"/>
      <c r="G116" s="1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9"/>
      <c r="B117" s="13" t="s">
        <v>270</v>
      </c>
      <c r="C117" s="14" t="s">
        <v>271</v>
      </c>
      <c r="D117" s="21"/>
      <c r="E117" s="14"/>
      <c r="F117" s="16"/>
      <c r="G117" s="1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9"/>
      <c r="B118" s="13" t="s">
        <v>272</v>
      </c>
      <c r="C118" s="14" t="s">
        <v>273</v>
      </c>
      <c r="D118" s="21"/>
      <c r="E118" s="14"/>
      <c r="F118" s="16"/>
      <c r="G118" s="1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9"/>
      <c r="B119" s="13" t="s">
        <v>274</v>
      </c>
      <c r="C119" s="14" t="s">
        <v>275</v>
      </c>
      <c r="D119" s="21"/>
      <c r="E119" s="14"/>
      <c r="F119" s="16"/>
      <c r="G119" s="1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9"/>
      <c r="B120" s="13" t="s">
        <v>276</v>
      </c>
      <c r="C120" s="14" t="s">
        <v>277</v>
      </c>
      <c r="D120" s="21"/>
      <c r="E120" s="14"/>
      <c r="F120" s="16"/>
      <c r="G120" s="1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9"/>
      <c r="B121" s="13" t="s">
        <v>278</v>
      </c>
      <c r="C121" s="14" t="s">
        <v>279</v>
      </c>
      <c r="D121" s="21"/>
      <c r="E121" s="14"/>
      <c r="F121" s="16"/>
      <c r="G121" s="1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9"/>
      <c r="B122" s="13" t="s">
        <v>280</v>
      </c>
      <c r="C122" s="14" t="s">
        <v>281</v>
      </c>
      <c r="D122" s="21"/>
      <c r="E122" s="14"/>
      <c r="F122" s="16"/>
      <c r="G122" s="1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9"/>
      <c r="B123" s="13" t="s">
        <v>278</v>
      </c>
      <c r="C123" s="14" t="s">
        <v>282</v>
      </c>
      <c r="D123" s="14" t="s">
        <v>283</v>
      </c>
      <c r="E123" s="14"/>
      <c r="F123" s="14"/>
      <c r="G123" s="1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9"/>
      <c r="B124" s="13" t="s">
        <v>284</v>
      </c>
      <c r="C124" s="14" t="s">
        <v>285</v>
      </c>
      <c r="D124" s="14" t="s">
        <v>286</v>
      </c>
      <c r="E124" s="14">
        <v>14.0</v>
      </c>
      <c r="F124" s="14"/>
      <c r="G124" s="1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9"/>
      <c r="B125" s="13" t="s">
        <v>287</v>
      </c>
      <c r="C125" s="14" t="s">
        <v>288</v>
      </c>
      <c r="D125" s="14" t="s">
        <v>289</v>
      </c>
      <c r="E125" s="14">
        <v>0.0</v>
      </c>
      <c r="F125" s="14"/>
      <c r="G125" s="1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9"/>
      <c r="B126" s="13" t="s">
        <v>290</v>
      </c>
      <c r="C126" s="14" t="s">
        <v>291</v>
      </c>
      <c r="D126" s="16"/>
      <c r="E126" s="14"/>
      <c r="F126" s="16"/>
      <c r="G126" s="1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9"/>
      <c r="B127" s="13" t="s">
        <v>292</v>
      </c>
      <c r="C127" s="14" t="s">
        <v>293</v>
      </c>
      <c r="D127" s="16"/>
      <c r="E127" s="14"/>
      <c r="F127" s="16"/>
      <c r="G127" s="1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9"/>
      <c r="B128" s="13" t="s">
        <v>294</v>
      </c>
      <c r="C128" s="14" t="s">
        <v>295</v>
      </c>
      <c r="D128" s="16"/>
      <c r="E128" s="14"/>
      <c r="F128" s="16"/>
      <c r="G128" s="1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9"/>
      <c r="B129" s="13" t="s">
        <v>294</v>
      </c>
      <c r="C129" s="14" t="s">
        <v>296</v>
      </c>
      <c r="D129" s="14" t="s">
        <v>297</v>
      </c>
      <c r="E129" s="14">
        <v>0.0</v>
      </c>
      <c r="F129" s="14"/>
      <c r="G129" s="1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9"/>
      <c r="B130" s="13" t="s">
        <v>298</v>
      </c>
      <c r="C130" s="14" t="s">
        <v>299</v>
      </c>
      <c r="D130" s="16"/>
      <c r="E130" s="14"/>
      <c r="F130" s="16"/>
      <c r="G130" s="1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9"/>
      <c r="B131" s="13" t="s">
        <v>300</v>
      </c>
      <c r="C131" s="14" t="s">
        <v>301</v>
      </c>
      <c r="D131" s="14" t="s">
        <v>302</v>
      </c>
      <c r="E131" s="14"/>
      <c r="F131" s="14"/>
      <c r="G131" s="1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9"/>
      <c r="B132" s="13" t="s">
        <v>303</v>
      </c>
      <c r="C132" s="14" t="s">
        <v>304</v>
      </c>
      <c r="D132" s="14" t="s">
        <v>305</v>
      </c>
      <c r="E132" s="14"/>
      <c r="F132" s="14"/>
      <c r="G132" s="1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9"/>
      <c r="B133" s="13" t="s">
        <v>306</v>
      </c>
      <c r="C133" s="14" t="s">
        <v>307</v>
      </c>
      <c r="D133" s="21"/>
      <c r="E133" s="14"/>
      <c r="F133" s="16"/>
      <c r="G133" s="1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9"/>
      <c r="B134" s="13" t="s">
        <v>172</v>
      </c>
      <c r="C134" s="14" t="s">
        <v>308</v>
      </c>
      <c r="D134" s="21"/>
      <c r="E134" s="14"/>
      <c r="F134" s="16"/>
      <c r="G134" s="1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9"/>
      <c r="B135" s="13" t="s">
        <v>309</v>
      </c>
      <c r="C135" s="14" t="s">
        <v>310</v>
      </c>
      <c r="D135" s="21"/>
      <c r="E135" s="14"/>
      <c r="F135" s="16"/>
      <c r="G135" s="1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9"/>
      <c r="B136" s="13" t="s">
        <v>309</v>
      </c>
      <c r="C136" s="14" t="s">
        <v>311</v>
      </c>
      <c r="D136" s="21"/>
      <c r="E136" s="14"/>
      <c r="F136" s="16"/>
      <c r="G136" s="1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9"/>
      <c r="B137" s="13" t="s">
        <v>312</v>
      </c>
      <c r="C137" s="14" t="s">
        <v>313</v>
      </c>
      <c r="D137" s="21"/>
      <c r="E137" s="14"/>
      <c r="F137" s="16"/>
      <c r="G137" s="1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9"/>
      <c r="B138" s="13" t="s">
        <v>314</v>
      </c>
      <c r="C138" s="14" t="s">
        <v>315</v>
      </c>
      <c r="D138" s="21"/>
      <c r="E138" s="14"/>
      <c r="F138" s="16"/>
      <c r="G138" s="1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9"/>
      <c r="B139" s="13" t="s">
        <v>316</v>
      </c>
      <c r="C139" s="14" t="s">
        <v>317</v>
      </c>
      <c r="D139" s="21"/>
      <c r="E139" s="14">
        <v>12.0</v>
      </c>
      <c r="F139" s="16"/>
      <c r="G139" s="1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9"/>
      <c r="B140" s="13" t="s">
        <v>318</v>
      </c>
      <c r="C140" s="14" t="s">
        <v>319</v>
      </c>
      <c r="D140" s="21"/>
      <c r="E140" s="14"/>
      <c r="F140" s="16"/>
      <c r="G140" s="1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9"/>
      <c r="B141" s="13" t="s">
        <v>320</v>
      </c>
      <c r="C141" s="14" t="s">
        <v>321</v>
      </c>
      <c r="D141" s="14" t="s">
        <v>322</v>
      </c>
      <c r="E141" s="14"/>
      <c r="F141" s="14"/>
      <c r="G141" s="1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9"/>
      <c r="B142" s="13" t="s">
        <v>323</v>
      </c>
      <c r="C142" s="14" t="s">
        <v>324</v>
      </c>
      <c r="D142" s="14" t="s">
        <v>325</v>
      </c>
      <c r="E142" s="14"/>
      <c r="F142" s="14"/>
      <c r="G142" s="1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9"/>
      <c r="B143" s="13" t="s">
        <v>326</v>
      </c>
      <c r="C143" s="14" t="s">
        <v>327</v>
      </c>
      <c r="D143" s="14" t="s">
        <v>302</v>
      </c>
      <c r="E143" s="14"/>
      <c r="F143" s="14"/>
      <c r="G143" s="1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9"/>
      <c r="B144" s="13" t="s">
        <v>328</v>
      </c>
      <c r="C144" s="14" t="s">
        <v>329</v>
      </c>
      <c r="D144" s="16"/>
      <c r="E144" s="14"/>
      <c r="F144" s="16"/>
      <c r="G144" s="1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9"/>
      <c r="B145" s="13" t="s">
        <v>330</v>
      </c>
      <c r="C145" s="14" t="s">
        <v>331</v>
      </c>
      <c r="D145" s="14" t="s">
        <v>332</v>
      </c>
      <c r="E145" s="14">
        <v>0.0</v>
      </c>
      <c r="F145" s="14"/>
      <c r="G145" s="1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9"/>
      <c r="B146" s="13" t="s">
        <v>333</v>
      </c>
      <c r="C146" s="14" t="s">
        <v>334</v>
      </c>
      <c r="D146" s="16"/>
      <c r="E146" s="14"/>
      <c r="F146" s="16"/>
      <c r="G146" s="1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9"/>
      <c r="B147" s="13" t="s">
        <v>335</v>
      </c>
      <c r="C147" s="16"/>
      <c r="D147" s="14" t="s">
        <v>211</v>
      </c>
      <c r="E147" s="14"/>
      <c r="F147" s="14"/>
      <c r="G147" s="1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9"/>
      <c r="B148" s="13" t="s">
        <v>336</v>
      </c>
      <c r="C148" s="16"/>
      <c r="D148" s="14" t="s">
        <v>337</v>
      </c>
      <c r="E148" s="14"/>
      <c r="F148" s="14"/>
      <c r="G148" s="1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9"/>
      <c r="B149" s="13" t="s">
        <v>338</v>
      </c>
      <c r="C149" s="16"/>
      <c r="D149" s="14" t="s">
        <v>332</v>
      </c>
      <c r="E149" s="14"/>
      <c r="F149" s="14"/>
      <c r="G149" s="1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9"/>
      <c r="B150" s="13" t="s">
        <v>339</v>
      </c>
      <c r="C150" s="14">
        <v>6903.0</v>
      </c>
      <c r="D150" s="16"/>
      <c r="E150" s="14"/>
      <c r="F150" s="16"/>
      <c r="G150" s="1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9"/>
      <c r="B151" s="13" t="s">
        <v>340</v>
      </c>
      <c r="C151" s="14" t="s">
        <v>341</v>
      </c>
      <c r="D151" s="14" t="s">
        <v>69</v>
      </c>
      <c r="E151" s="14"/>
      <c r="F151" s="16"/>
      <c r="G151" s="1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9"/>
      <c r="B152" s="13" t="s">
        <v>342</v>
      </c>
      <c r="C152" s="16"/>
      <c r="D152" s="14" t="s">
        <v>146</v>
      </c>
      <c r="E152" s="14"/>
      <c r="F152" s="14"/>
      <c r="G152" s="1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9"/>
      <c r="B153" s="13" t="s">
        <v>343</v>
      </c>
      <c r="C153" s="14" t="s">
        <v>344</v>
      </c>
      <c r="D153" s="14" t="s">
        <v>345</v>
      </c>
      <c r="E153" s="14"/>
      <c r="F153" s="14"/>
      <c r="G153" s="1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9"/>
      <c r="B154" s="13" t="s">
        <v>346</v>
      </c>
      <c r="C154" s="14" t="s">
        <v>347</v>
      </c>
      <c r="D154" s="14" t="s">
        <v>348</v>
      </c>
      <c r="E154" s="14"/>
      <c r="F154" s="14"/>
      <c r="G154" s="1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9"/>
      <c r="B155" s="13" t="s">
        <v>349</v>
      </c>
      <c r="C155" s="14" t="s">
        <v>350</v>
      </c>
      <c r="D155" s="14" t="s">
        <v>351</v>
      </c>
      <c r="E155" s="14"/>
      <c r="F155" s="14"/>
      <c r="G155" s="1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9"/>
      <c r="B156" s="13" t="s">
        <v>352</v>
      </c>
      <c r="C156" s="14" t="s">
        <v>353</v>
      </c>
      <c r="D156" s="14" t="s">
        <v>354</v>
      </c>
      <c r="E156" s="14"/>
      <c r="F156" s="14"/>
      <c r="G156" s="1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9"/>
      <c r="B157" s="13" t="s">
        <v>355</v>
      </c>
      <c r="C157" s="14" t="s">
        <v>356</v>
      </c>
      <c r="D157" s="14" t="s">
        <v>357</v>
      </c>
      <c r="E157" s="14"/>
      <c r="F157" s="14"/>
      <c r="G157" s="1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9"/>
      <c r="B158" s="13" t="s">
        <v>358</v>
      </c>
      <c r="C158" s="14" t="s">
        <v>359</v>
      </c>
      <c r="D158" s="16"/>
      <c r="E158" s="14"/>
      <c r="F158" s="16"/>
      <c r="G158" s="1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9"/>
      <c r="B159" s="13" t="s">
        <v>257</v>
      </c>
      <c r="C159" s="14" t="s">
        <v>360</v>
      </c>
      <c r="D159" s="14" t="s">
        <v>48</v>
      </c>
      <c r="E159" s="14"/>
      <c r="F159" s="14"/>
      <c r="G159" s="1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9"/>
      <c r="B160" s="13" t="s">
        <v>361</v>
      </c>
      <c r="C160" s="14" t="s">
        <v>362</v>
      </c>
      <c r="D160" s="14" t="s">
        <v>363</v>
      </c>
      <c r="E160" s="14"/>
      <c r="F160" s="14"/>
      <c r="G160" s="1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9"/>
      <c r="B161" s="13" t="s">
        <v>364</v>
      </c>
      <c r="C161" s="14" t="s">
        <v>364</v>
      </c>
      <c r="D161" s="14" t="s">
        <v>365</v>
      </c>
      <c r="E161" s="14"/>
      <c r="F161" s="14"/>
      <c r="G161" s="1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9"/>
      <c r="B162" s="13" t="s">
        <v>366</v>
      </c>
      <c r="C162" s="14" t="s">
        <v>367</v>
      </c>
      <c r="D162" s="14" t="s">
        <v>368</v>
      </c>
      <c r="E162" s="14"/>
      <c r="F162" s="14"/>
      <c r="G162" s="1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9"/>
      <c r="B163" s="13" t="s">
        <v>369</v>
      </c>
      <c r="C163" s="14" t="s">
        <v>370</v>
      </c>
      <c r="D163" s="16"/>
      <c r="E163" s="14"/>
      <c r="F163" s="16"/>
      <c r="G163" s="1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9"/>
      <c r="B164" s="13" t="s">
        <v>371</v>
      </c>
      <c r="C164" s="14" t="s">
        <v>372</v>
      </c>
      <c r="D164" s="14" t="s">
        <v>127</v>
      </c>
      <c r="E164" s="14"/>
      <c r="F164" s="14"/>
      <c r="G164" s="1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9"/>
      <c r="B165" s="13" t="s">
        <v>373</v>
      </c>
      <c r="C165" s="14" t="s">
        <v>374</v>
      </c>
      <c r="D165" s="14" t="s">
        <v>127</v>
      </c>
      <c r="E165" s="14"/>
      <c r="F165" s="14"/>
      <c r="G165" s="1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9"/>
      <c r="B166" s="13" t="s">
        <v>375</v>
      </c>
      <c r="C166" s="14" t="s">
        <v>376</v>
      </c>
      <c r="D166" s="14" t="s">
        <v>348</v>
      </c>
      <c r="E166" s="14"/>
      <c r="F166" s="14"/>
      <c r="G166" s="1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9"/>
      <c r="B167" s="13" t="s">
        <v>377</v>
      </c>
      <c r="C167" s="14" t="s">
        <v>378</v>
      </c>
      <c r="D167" s="14" t="s">
        <v>379</v>
      </c>
      <c r="E167" s="14">
        <v>0.0</v>
      </c>
      <c r="F167" s="14"/>
      <c r="G167" s="1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9"/>
      <c r="B168" s="13" t="s">
        <v>380</v>
      </c>
      <c r="C168" s="16"/>
      <c r="D168" s="22"/>
      <c r="E168" s="14"/>
      <c r="F168" s="23"/>
      <c r="G168" s="23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9"/>
      <c r="B169" s="13" t="s">
        <v>381</v>
      </c>
      <c r="C169" s="14">
        <v>22207.0</v>
      </c>
      <c r="D169" s="22"/>
      <c r="E169" s="14"/>
      <c r="F169" s="23"/>
      <c r="G169" s="23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9"/>
      <c r="B170" s="13" t="s">
        <v>382</v>
      </c>
      <c r="C170" s="14" t="s">
        <v>382</v>
      </c>
      <c r="D170" s="22"/>
      <c r="E170" s="14"/>
      <c r="F170" s="23"/>
      <c r="G170" s="23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9"/>
      <c r="B171" s="13" t="s">
        <v>383</v>
      </c>
      <c r="C171" s="16"/>
      <c r="D171" s="22"/>
      <c r="E171" s="14">
        <v>6.0</v>
      </c>
      <c r="F171" s="23"/>
      <c r="G171" s="23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9"/>
      <c r="B172" s="13" t="s">
        <v>384</v>
      </c>
      <c r="C172" s="14" t="s">
        <v>385</v>
      </c>
      <c r="D172" s="22"/>
      <c r="E172" s="14"/>
      <c r="F172" s="23"/>
      <c r="G172" s="23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9"/>
      <c r="B173" s="13" t="s">
        <v>386</v>
      </c>
      <c r="C173" s="14" t="s">
        <v>385</v>
      </c>
      <c r="D173" s="22"/>
      <c r="E173" s="14"/>
      <c r="F173" s="23"/>
      <c r="G173" s="23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9"/>
      <c r="B174" s="13" t="s">
        <v>387</v>
      </c>
      <c r="C174" s="14" t="s">
        <v>385</v>
      </c>
      <c r="D174" s="22"/>
      <c r="E174" s="14"/>
      <c r="F174" s="23"/>
      <c r="G174" s="23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9"/>
      <c r="B175" s="13" t="s">
        <v>388</v>
      </c>
      <c r="C175" s="14" t="s">
        <v>389</v>
      </c>
      <c r="D175" s="22"/>
      <c r="E175" s="14"/>
      <c r="F175" s="23"/>
      <c r="G175" s="23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9"/>
      <c r="B176" s="13" t="s">
        <v>390</v>
      </c>
      <c r="C176" s="14" t="s">
        <v>389</v>
      </c>
      <c r="D176" s="22"/>
      <c r="E176" s="14"/>
      <c r="F176" s="23"/>
      <c r="G176" s="23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9"/>
      <c r="B177" s="13" t="s">
        <v>391</v>
      </c>
      <c r="C177" s="14" t="s">
        <v>389</v>
      </c>
      <c r="D177" s="22"/>
      <c r="E177" s="14"/>
      <c r="F177" s="23"/>
      <c r="G177" s="23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9"/>
      <c r="B178" s="13" t="s">
        <v>392</v>
      </c>
      <c r="C178" s="14" t="s">
        <v>389</v>
      </c>
      <c r="D178" s="22"/>
      <c r="E178" s="14"/>
      <c r="F178" s="23"/>
      <c r="G178" s="23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9"/>
      <c r="B179" s="13" t="s">
        <v>393</v>
      </c>
      <c r="C179" s="14" t="s">
        <v>389</v>
      </c>
      <c r="D179" s="22"/>
      <c r="E179" s="14"/>
      <c r="F179" s="23"/>
      <c r="G179" s="23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9"/>
      <c r="B180" s="13" t="s">
        <v>394</v>
      </c>
      <c r="C180" s="14" t="s">
        <v>389</v>
      </c>
      <c r="D180" s="22"/>
      <c r="E180" s="14"/>
      <c r="F180" s="23"/>
      <c r="G180" s="23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9"/>
      <c r="B181" s="13" t="s">
        <v>395</v>
      </c>
      <c r="C181" s="14" t="s">
        <v>396</v>
      </c>
      <c r="D181" s="22"/>
      <c r="E181" s="14"/>
      <c r="F181" s="23"/>
      <c r="G181" s="23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9"/>
      <c r="B182" s="13" t="s">
        <v>397</v>
      </c>
      <c r="C182" s="14" t="s">
        <v>396</v>
      </c>
      <c r="D182" s="22"/>
      <c r="E182" s="14"/>
      <c r="F182" s="23"/>
      <c r="G182" s="23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9"/>
      <c r="B183" s="13" t="s">
        <v>398</v>
      </c>
      <c r="C183" s="14" t="s">
        <v>396</v>
      </c>
      <c r="D183" s="22"/>
      <c r="E183" s="14"/>
      <c r="F183" s="23"/>
      <c r="G183" s="23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9"/>
      <c r="B184" s="13" t="s">
        <v>399</v>
      </c>
      <c r="C184" s="14" t="s">
        <v>396</v>
      </c>
      <c r="D184" s="22"/>
      <c r="E184" s="14"/>
      <c r="F184" s="23"/>
      <c r="G184" s="23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9"/>
      <c r="B185" s="13" t="s">
        <v>400</v>
      </c>
      <c r="C185" s="14" t="s">
        <v>396</v>
      </c>
      <c r="D185" s="22"/>
      <c r="E185" s="14"/>
      <c r="F185" s="23"/>
      <c r="G185" s="23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9"/>
      <c r="B186" s="13" t="s">
        <v>400</v>
      </c>
      <c r="C186" s="14" t="s">
        <v>401</v>
      </c>
      <c r="D186" s="22"/>
      <c r="E186" s="14"/>
      <c r="F186" s="23"/>
      <c r="G186" s="23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9"/>
      <c r="B187" s="13" t="s">
        <v>402</v>
      </c>
      <c r="C187" s="14" t="s">
        <v>401</v>
      </c>
      <c r="D187" s="22"/>
      <c r="E187" s="14"/>
      <c r="F187" s="23"/>
      <c r="G187" s="23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9"/>
      <c r="B188" s="13" t="s">
        <v>403</v>
      </c>
      <c r="C188" s="14" t="s">
        <v>401</v>
      </c>
      <c r="D188" s="22"/>
      <c r="E188" s="14"/>
      <c r="F188" s="23"/>
      <c r="G188" s="23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9"/>
      <c r="B189" s="13" t="s">
        <v>404</v>
      </c>
      <c r="C189" s="14" t="s">
        <v>405</v>
      </c>
      <c r="D189" s="22"/>
      <c r="E189" s="14"/>
      <c r="F189" s="23"/>
      <c r="G189" s="23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9"/>
      <c r="B190" s="13" t="s">
        <v>406</v>
      </c>
      <c r="C190" s="14" t="s">
        <v>407</v>
      </c>
      <c r="D190" s="22"/>
      <c r="E190" s="14"/>
      <c r="F190" s="23"/>
      <c r="G190" s="23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9"/>
      <c r="B191" s="13" t="s">
        <v>408</v>
      </c>
      <c r="C191" s="14" t="s">
        <v>409</v>
      </c>
      <c r="D191" s="22"/>
      <c r="E191" s="14"/>
      <c r="F191" s="23"/>
      <c r="G191" s="23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9"/>
      <c r="B192" s="13" t="s">
        <v>410</v>
      </c>
      <c r="C192" s="14" t="s">
        <v>411</v>
      </c>
      <c r="D192" s="22"/>
      <c r="E192" s="14"/>
      <c r="F192" s="23"/>
      <c r="G192" s="23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9"/>
      <c r="B193" s="13" t="s">
        <v>412</v>
      </c>
      <c r="C193" s="14" t="s">
        <v>411</v>
      </c>
      <c r="D193" s="22"/>
      <c r="E193" s="14"/>
      <c r="F193" s="23"/>
      <c r="G193" s="23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9"/>
      <c r="B194" s="13" t="s">
        <v>413</v>
      </c>
      <c r="C194" s="14" t="s">
        <v>414</v>
      </c>
      <c r="D194" s="22"/>
      <c r="E194" s="14"/>
      <c r="F194" s="23"/>
      <c r="G194" s="23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9"/>
      <c r="B195" s="13" t="s">
        <v>415</v>
      </c>
      <c r="C195" s="14" t="s">
        <v>416</v>
      </c>
      <c r="D195" s="22"/>
      <c r="E195" s="14"/>
      <c r="F195" s="23"/>
      <c r="G195" s="23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9"/>
      <c r="B196" s="13" t="s">
        <v>417</v>
      </c>
      <c r="C196" s="14" t="s">
        <v>418</v>
      </c>
      <c r="D196" s="22"/>
      <c r="E196" s="14"/>
      <c r="F196" s="23"/>
      <c r="G196" s="23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9"/>
      <c r="B197" s="13" t="s">
        <v>419</v>
      </c>
      <c r="C197" s="14" t="s">
        <v>420</v>
      </c>
      <c r="D197" s="22"/>
      <c r="E197" s="14"/>
      <c r="F197" s="23"/>
      <c r="G197" s="23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9"/>
      <c r="B198" s="13" t="s">
        <v>421</v>
      </c>
      <c r="C198" s="14" t="s">
        <v>420</v>
      </c>
      <c r="D198" s="22"/>
      <c r="E198" s="14"/>
      <c r="F198" s="23"/>
      <c r="G198" s="23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9"/>
      <c r="B199" s="13" t="s">
        <v>422</v>
      </c>
      <c r="C199" s="14" t="s">
        <v>420</v>
      </c>
      <c r="D199" s="22"/>
      <c r="E199" s="14"/>
      <c r="F199" s="23"/>
      <c r="G199" s="23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9"/>
      <c r="B200" s="13" t="s">
        <v>423</v>
      </c>
      <c r="C200" s="14" t="s">
        <v>420</v>
      </c>
      <c r="D200" s="22"/>
      <c r="E200" s="14"/>
      <c r="F200" s="23"/>
      <c r="G200" s="23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9"/>
      <c r="B201" s="13" t="s">
        <v>424</v>
      </c>
      <c r="C201" s="14" t="s">
        <v>425</v>
      </c>
      <c r="D201" s="22"/>
      <c r="E201" s="14"/>
      <c r="F201" s="23"/>
      <c r="G201" s="23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9"/>
      <c r="B202" s="13" t="s">
        <v>426</v>
      </c>
      <c r="C202" s="14" t="s">
        <v>425</v>
      </c>
      <c r="D202" s="22"/>
      <c r="E202" s="14"/>
      <c r="F202" s="23"/>
      <c r="G202" s="23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9"/>
      <c r="B203" s="13" t="s">
        <v>427</v>
      </c>
      <c r="C203" s="14" t="s">
        <v>425</v>
      </c>
      <c r="D203" s="22"/>
      <c r="E203" s="14"/>
      <c r="F203" s="23"/>
      <c r="G203" s="23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9"/>
      <c r="B204" s="13" t="s">
        <v>428</v>
      </c>
      <c r="C204" s="14" t="s">
        <v>425</v>
      </c>
      <c r="D204" s="22"/>
      <c r="E204" s="14"/>
      <c r="F204" s="23"/>
      <c r="G204" s="23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9"/>
      <c r="B205" s="13" t="s">
        <v>429</v>
      </c>
      <c r="C205" s="14" t="s">
        <v>425</v>
      </c>
      <c r="D205" s="22"/>
      <c r="E205" s="14"/>
      <c r="F205" s="23"/>
      <c r="G205" s="23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9"/>
      <c r="B206" s="13" t="s">
        <v>430</v>
      </c>
      <c r="C206" s="14" t="s">
        <v>431</v>
      </c>
      <c r="D206" s="22"/>
      <c r="E206" s="14"/>
      <c r="F206" s="23"/>
      <c r="G206" s="23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9"/>
      <c r="B207" s="13" t="s">
        <v>432</v>
      </c>
      <c r="C207" s="14" t="s">
        <v>431</v>
      </c>
      <c r="D207" s="22"/>
      <c r="E207" s="14"/>
      <c r="F207" s="23"/>
      <c r="G207" s="23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9"/>
      <c r="B208" s="13" t="s">
        <v>433</v>
      </c>
      <c r="C208" s="14" t="s">
        <v>431</v>
      </c>
      <c r="D208" s="22"/>
      <c r="E208" s="14"/>
      <c r="F208" s="23"/>
      <c r="G208" s="23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9"/>
      <c r="B209" s="13" t="s">
        <v>434</v>
      </c>
      <c r="C209" s="14" t="s">
        <v>431</v>
      </c>
      <c r="D209" s="22"/>
      <c r="E209" s="14"/>
      <c r="F209" s="23"/>
      <c r="G209" s="23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9"/>
      <c r="B210" s="13" t="s">
        <v>435</v>
      </c>
      <c r="C210" s="14" t="s">
        <v>436</v>
      </c>
      <c r="D210" s="22"/>
      <c r="E210" s="14"/>
      <c r="F210" s="23"/>
      <c r="G210" s="23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9"/>
      <c r="B211" s="13" t="s">
        <v>437</v>
      </c>
      <c r="C211" s="14" t="s">
        <v>436</v>
      </c>
      <c r="D211" s="22"/>
      <c r="E211" s="14"/>
      <c r="F211" s="23"/>
      <c r="G211" s="23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9"/>
      <c r="B212" s="13" t="s">
        <v>438</v>
      </c>
      <c r="C212" s="14" t="s">
        <v>436</v>
      </c>
      <c r="D212" s="22"/>
      <c r="E212" s="14"/>
      <c r="F212" s="23"/>
      <c r="G212" s="23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9"/>
      <c r="B213" s="13" t="s">
        <v>439</v>
      </c>
      <c r="C213" s="16"/>
      <c r="D213" s="22"/>
      <c r="E213" s="14"/>
      <c r="F213" s="23"/>
      <c r="G213" s="23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9"/>
      <c r="B214" s="13" t="s">
        <v>440</v>
      </c>
      <c r="C214" s="14" t="s">
        <v>441</v>
      </c>
      <c r="D214" s="22"/>
      <c r="E214" s="14"/>
      <c r="F214" s="23"/>
      <c r="G214" s="23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9"/>
      <c r="B215" s="13" t="s">
        <v>442</v>
      </c>
      <c r="C215" s="14" t="s">
        <v>441</v>
      </c>
      <c r="D215" s="22"/>
      <c r="E215" s="14"/>
      <c r="F215" s="23"/>
      <c r="G215" s="23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9"/>
      <c r="B216" s="13" t="s">
        <v>443</v>
      </c>
      <c r="C216" s="14" t="s">
        <v>444</v>
      </c>
      <c r="D216" s="22"/>
      <c r="E216" s="14"/>
      <c r="F216" s="23"/>
      <c r="G216" s="23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9"/>
      <c r="B217" s="13" t="s">
        <v>445</v>
      </c>
      <c r="C217" s="14" t="s">
        <v>446</v>
      </c>
      <c r="D217" s="22"/>
      <c r="E217" s="14"/>
      <c r="F217" s="23"/>
      <c r="G217" s="23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9"/>
      <c r="B218" s="13" t="s">
        <v>447</v>
      </c>
      <c r="C218" s="16"/>
      <c r="D218" s="22"/>
      <c r="E218" s="14"/>
      <c r="F218" s="23"/>
      <c r="G218" s="23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9"/>
      <c r="B219" s="13" t="s">
        <v>448</v>
      </c>
      <c r="C219" s="14" t="s">
        <v>385</v>
      </c>
      <c r="D219" s="22"/>
      <c r="E219" s="14"/>
      <c r="F219" s="23"/>
      <c r="G219" s="23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9"/>
      <c r="B220" s="13" t="s">
        <v>386</v>
      </c>
      <c r="C220" s="14" t="s">
        <v>385</v>
      </c>
      <c r="D220" s="22"/>
      <c r="E220" s="14"/>
      <c r="F220" s="23"/>
      <c r="G220" s="23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9"/>
      <c r="B221" s="13" t="s">
        <v>387</v>
      </c>
      <c r="C221" s="14" t="s">
        <v>385</v>
      </c>
      <c r="D221" s="22"/>
      <c r="E221" s="14"/>
      <c r="F221" s="23"/>
      <c r="G221" s="23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9"/>
      <c r="B222" s="13" t="s">
        <v>449</v>
      </c>
      <c r="C222" s="14" t="s">
        <v>450</v>
      </c>
      <c r="D222" s="22"/>
      <c r="E222" s="14"/>
      <c r="F222" s="23"/>
      <c r="G222" s="23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9"/>
      <c r="B223" s="13" t="s">
        <v>451</v>
      </c>
      <c r="C223" s="14" t="s">
        <v>389</v>
      </c>
      <c r="D223" s="22"/>
      <c r="E223" s="14"/>
      <c r="F223" s="23"/>
      <c r="G223" s="23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9"/>
      <c r="B224" s="13" t="s">
        <v>452</v>
      </c>
      <c r="C224" s="14" t="s">
        <v>389</v>
      </c>
      <c r="D224" s="22"/>
      <c r="E224" s="14"/>
      <c r="F224" s="23"/>
      <c r="G224" s="23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9"/>
      <c r="B225" s="13" t="s">
        <v>453</v>
      </c>
      <c r="C225" s="14" t="s">
        <v>389</v>
      </c>
      <c r="D225" s="22"/>
      <c r="E225" s="14"/>
      <c r="F225" s="23"/>
      <c r="G225" s="23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9"/>
      <c r="B226" s="13" t="s">
        <v>392</v>
      </c>
      <c r="C226" s="14" t="s">
        <v>389</v>
      </c>
      <c r="D226" s="22"/>
      <c r="E226" s="14"/>
      <c r="F226" s="23"/>
      <c r="G226" s="23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9"/>
      <c r="B227" s="13" t="s">
        <v>394</v>
      </c>
      <c r="C227" s="14" t="s">
        <v>389</v>
      </c>
      <c r="D227" s="22"/>
      <c r="E227" s="14"/>
      <c r="F227" s="23"/>
      <c r="G227" s="23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9"/>
      <c r="B228" s="13" t="s">
        <v>395</v>
      </c>
      <c r="C228" s="14" t="s">
        <v>396</v>
      </c>
      <c r="D228" s="22"/>
      <c r="E228" s="14"/>
      <c r="F228" s="23"/>
      <c r="G228" s="23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9"/>
      <c r="B229" s="13" t="s">
        <v>397</v>
      </c>
      <c r="C229" s="14" t="s">
        <v>396</v>
      </c>
      <c r="D229" s="22"/>
      <c r="E229" s="14"/>
      <c r="F229" s="23"/>
      <c r="G229" s="23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9"/>
      <c r="B230" s="13" t="s">
        <v>454</v>
      </c>
      <c r="C230" s="14" t="s">
        <v>396</v>
      </c>
      <c r="D230" s="22"/>
      <c r="E230" s="14"/>
      <c r="F230" s="23"/>
      <c r="G230" s="23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9"/>
      <c r="B231" s="13" t="s">
        <v>455</v>
      </c>
      <c r="C231" s="14" t="s">
        <v>396</v>
      </c>
      <c r="D231" s="22"/>
      <c r="E231" s="14"/>
      <c r="F231" s="23"/>
      <c r="G231" s="23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9"/>
      <c r="B232" s="13" t="s">
        <v>400</v>
      </c>
      <c r="C232" s="14" t="s">
        <v>396</v>
      </c>
      <c r="D232" s="22"/>
      <c r="E232" s="14"/>
      <c r="F232" s="23"/>
      <c r="G232" s="23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9"/>
      <c r="B233" s="13" t="s">
        <v>456</v>
      </c>
      <c r="C233" s="14" t="s">
        <v>401</v>
      </c>
      <c r="D233" s="22"/>
      <c r="E233" s="14"/>
      <c r="F233" s="23"/>
      <c r="G233" s="23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9"/>
      <c r="B234" s="13" t="s">
        <v>457</v>
      </c>
      <c r="C234" s="14" t="s">
        <v>401</v>
      </c>
      <c r="D234" s="22"/>
      <c r="E234" s="14"/>
      <c r="F234" s="23"/>
      <c r="G234" s="23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9"/>
      <c r="B235" s="13" t="s">
        <v>458</v>
      </c>
      <c r="C235" s="14" t="s">
        <v>401</v>
      </c>
      <c r="D235" s="22"/>
      <c r="E235" s="14"/>
      <c r="F235" s="23"/>
      <c r="G235" s="23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9"/>
      <c r="B236" s="13" t="s">
        <v>459</v>
      </c>
      <c r="C236" s="14" t="s">
        <v>401</v>
      </c>
      <c r="D236" s="22"/>
      <c r="E236" s="14"/>
      <c r="F236" s="23"/>
      <c r="G236" s="23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9"/>
      <c r="B237" s="13" t="s">
        <v>460</v>
      </c>
      <c r="C237" s="14" t="s">
        <v>461</v>
      </c>
      <c r="D237" s="22"/>
      <c r="E237" s="14"/>
      <c r="F237" s="23"/>
      <c r="G237" s="23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9"/>
      <c r="B238" s="13" t="s">
        <v>462</v>
      </c>
      <c r="C238" s="14" t="s">
        <v>463</v>
      </c>
      <c r="D238" s="22"/>
      <c r="E238" s="14"/>
      <c r="F238" s="23"/>
      <c r="G238" s="23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9"/>
      <c r="B239" s="13" t="s">
        <v>464</v>
      </c>
      <c r="C239" s="14" t="s">
        <v>463</v>
      </c>
      <c r="D239" s="22"/>
      <c r="E239" s="14"/>
      <c r="F239" s="23"/>
      <c r="G239" s="23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9"/>
      <c r="B240" s="13" t="s">
        <v>465</v>
      </c>
      <c r="C240" s="14" t="s">
        <v>466</v>
      </c>
      <c r="D240" s="22"/>
      <c r="E240" s="14"/>
      <c r="F240" s="23"/>
      <c r="G240" s="23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9"/>
      <c r="B241" s="13" t="s">
        <v>467</v>
      </c>
      <c r="C241" s="14" t="s">
        <v>425</v>
      </c>
      <c r="D241" s="22"/>
      <c r="E241" s="14"/>
      <c r="F241" s="23"/>
      <c r="G241" s="23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9"/>
      <c r="B242" s="13" t="s">
        <v>468</v>
      </c>
      <c r="C242" s="14" t="s">
        <v>425</v>
      </c>
      <c r="D242" s="22"/>
      <c r="E242" s="14"/>
      <c r="F242" s="23"/>
      <c r="G242" s="23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9"/>
      <c r="B243" s="13" t="s">
        <v>469</v>
      </c>
      <c r="C243" s="14" t="s">
        <v>425</v>
      </c>
      <c r="D243" s="22"/>
      <c r="E243" s="14"/>
      <c r="F243" s="23"/>
      <c r="G243" s="23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9"/>
      <c r="B244" s="13" t="s">
        <v>470</v>
      </c>
      <c r="C244" s="14" t="s">
        <v>425</v>
      </c>
      <c r="D244" s="22"/>
      <c r="E244" s="14"/>
      <c r="F244" s="23"/>
      <c r="G244" s="23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9"/>
      <c r="B245" s="13" t="s">
        <v>471</v>
      </c>
      <c r="C245" s="14" t="s">
        <v>425</v>
      </c>
      <c r="D245" s="22"/>
      <c r="E245" s="14"/>
      <c r="F245" s="23"/>
      <c r="G245" s="23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9"/>
      <c r="B246" s="13" t="s">
        <v>472</v>
      </c>
      <c r="C246" s="14" t="s">
        <v>425</v>
      </c>
      <c r="D246" s="22"/>
      <c r="E246" s="14"/>
      <c r="F246" s="23"/>
      <c r="G246" s="23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9"/>
      <c r="B247" s="13" t="s">
        <v>473</v>
      </c>
      <c r="C247" s="14" t="s">
        <v>431</v>
      </c>
      <c r="D247" s="22"/>
      <c r="E247" s="14"/>
      <c r="F247" s="23"/>
      <c r="G247" s="23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9"/>
      <c r="B248" s="13" t="s">
        <v>474</v>
      </c>
      <c r="C248" s="14" t="s">
        <v>431</v>
      </c>
      <c r="D248" s="22"/>
      <c r="E248" s="14"/>
      <c r="F248" s="23"/>
      <c r="G248" s="23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9"/>
      <c r="B249" s="13" t="s">
        <v>475</v>
      </c>
      <c r="C249" s="14" t="s">
        <v>431</v>
      </c>
      <c r="D249" s="22"/>
      <c r="E249" s="14"/>
      <c r="F249" s="23"/>
      <c r="G249" s="23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9"/>
      <c r="B250" s="13" t="s">
        <v>476</v>
      </c>
      <c r="C250" s="14" t="s">
        <v>431</v>
      </c>
      <c r="D250" s="22"/>
      <c r="E250" s="14"/>
      <c r="F250" s="23"/>
      <c r="G250" s="23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9"/>
      <c r="B251" s="13" t="s">
        <v>477</v>
      </c>
      <c r="C251" s="14" t="s">
        <v>478</v>
      </c>
      <c r="D251" s="22"/>
      <c r="E251" s="14"/>
      <c r="F251" s="23"/>
      <c r="G251" s="23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9"/>
      <c r="B252" s="13" t="s">
        <v>479</v>
      </c>
      <c r="C252" s="14" t="s">
        <v>478</v>
      </c>
      <c r="D252" s="22"/>
      <c r="E252" s="22"/>
      <c r="F252" s="23"/>
      <c r="G252" s="23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9"/>
      <c r="B253" s="13" t="s">
        <v>480</v>
      </c>
      <c r="C253" s="14" t="s">
        <v>481</v>
      </c>
      <c r="D253" s="22"/>
      <c r="E253" s="22"/>
      <c r="F253" s="23"/>
      <c r="G253" s="23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9"/>
      <c r="B254" s="13" t="s">
        <v>482</v>
      </c>
      <c r="C254" s="14" t="s">
        <v>483</v>
      </c>
      <c r="D254" s="22"/>
      <c r="E254" s="22"/>
      <c r="F254" s="23"/>
      <c r="G254" s="23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9"/>
      <c r="B255" s="14" t="s">
        <v>484</v>
      </c>
      <c r="C255" s="13" t="s">
        <v>485</v>
      </c>
      <c r="D255" s="24"/>
      <c r="E255" s="13"/>
      <c r="F255" s="23"/>
      <c r="G255" s="23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9"/>
      <c r="B256" s="14" t="s">
        <v>486</v>
      </c>
      <c r="C256" s="10" t="s">
        <v>487</v>
      </c>
      <c r="D256" s="25"/>
      <c r="E256" s="10"/>
      <c r="F256" s="23"/>
      <c r="G256" s="23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9"/>
      <c r="B257" s="14" t="s">
        <v>484</v>
      </c>
      <c r="C257" s="10" t="s">
        <v>488</v>
      </c>
      <c r="D257" s="25"/>
      <c r="E257" s="10"/>
      <c r="F257" s="23"/>
      <c r="G257" s="23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9"/>
      <c r="B258" s="11" t="s">
        <v>489</v>
      </c>
      <c r="C258" s="10" t="s">
        <v>488</v>
      </c>
      <c r="D258" s="25"/>
      <c r="E258" s="10"/>
      <c r="F258" s="23"/>
      <c r="G258" s="23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9"/>
      <c r="B259" s="14" t="s">
        <v>490</v>
      </c>
      <c r="C259" s="10" t="s">
        <v>491</v>
      </c>
      <c r="D259" s="25"/>
      <c r="E259" s="10"/>
      <c r="F259" s="23"/>
      <c r="G259" s="23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9"/>
      <c r="B260" s="14" t="s">
        <v>492</v>
      </c>
      <c r="C260" s="10" t="s">
        <v>493</v>
      </c>
      <c r="D260" s="10" t="s">
        <v>494</v>
      </c>
      <c r="E260" s="10"/>
      <c r="F260" s="23"/>
      <c r="G260" s="23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9"/>
      <c r="B261" s="14" t="s">
        <v>495</v>
      </c>
      <c r="C261" s="10" t="s">
        <v>496</v>
      </c>
      <c r="D261" s="10" t="s">
        <v>497</v>
      </c>
      <c r="E261" s="10">
        <v>1.0</v>
      </c>
      <c r="F261" s="26" t="s">
        <v>498</v>
      </c>
      <c r="G261" s="23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9"/>
      <c r="B262" s="14" t="s">
        <v>499</v>
      </c>
      <c r="C262" s="10" t="s">
        <v>500</v>
      </c>
      <c r="D262" s="10" t="s">
        <v>501</v>
      </c>
      <c r="E262" s="10">
        <v>1.0</v>
      </c>
      <c r="F262" s="26"/>
      <c r="G262" s="23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9"/>
      <c r="B263" s="14" t="s">
        <v>502</v>
      </c>
      <c r="C263" s="10" t="s">
        <v>503</v>
      </c>
      <c r="D263" s="10" t="s">
        <v>501</v>
      </c>
      <c r="E263" s="10">
        <v>1.0</v>
      </c>
      <c r="F263" s="26"/>
      <c r="G263" s="23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9"/>
      <c r="B264" s="14" t="s">
        <v>504</v>
      </c>
      <c r="C264" s="10" t="s">
        <v>505</v>
      </c>
      <c r="D264" s="10" t="s">
        <v>501</v>
      </c>
      <c r="E264" s="10">
        <v>1.0</v>
      </c>
      <c r="F264" s="26"/>
      <c r="G264" s="23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9"/>
      <c r="B265" s="14" t="s">
        <v>506</v>
      </c>
      <c r="C265" s="10" t="s">
        <v>507</v>
      </c>
      <c r="D265" s="10" t="s">
        <v>501</v>
      </c>
      <c r="E265" s="10">
        <v>1.0</v>
      </c>
      <c r="F265" s="26"/>
      <c r="G265" s="23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9"/>
      <c r="B266" s="14" t="s">
        <v>508</v>
      </c>
      <c r="C266" s="10" t="s">
        <v>509</v>
      </c>
      <c r="D266" s="10" t="s">
        <v>501</v>
      </c>
      <c r="E266" s="10">
        <v>1.0</v>
      </c>
      <c r="F266" s="26"/>
      <c r="G266" s="23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9"/>
      <c r="B267" s="14" t="s">
        <v>510</v>
      </c>
      <c r="C267" s="10" t="s">
        <v>511</v>
      </c>
      <c r="D267" s="10" t="s">
        <v>512</v>
      </c>
      <c r="E267" s="10"/>
      <c r="F267" s="23"/>
      <c r="G267" s="23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9"/>
      <c r="B268" s="14" t="s">
        <v>513</v>
      </c>
      <c r="C268" s="10" t="s">
        <v>514</v>
      </c>
      <c r="D268" s="10" t="s">
        <v>515</v>
      </c>
      <c r="E268" s="10"/>
      <c r="F268" s="23"/>
      <c r="G268" s="23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9"/>
      <c r="B269" s="14" t="s">
        <v>516</v>
      </c>
      <c r="C269" s="10" t="s">
        <v>517</v>
      </c>
      <c r="D269" s="10" t="s">
        <v>518</v>
      </c>
      <c r="E269" s="10"/>
      <c r="F269" s="23"/>
      <c r="G269" s="23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9"/>
      <c r="B270" s="14" t="s">
        <v>519</v>
      </c>
      <c r="C270" s="10" t="s">
        <v>520</v>
      </c>
      <c r="D270" s="10" t="s">
        <v>512</v>
      </c>
      <c r="E270" s="10"/>
      <c r="F270" s="23"/>
      <c r="G270" s="23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9"/>
      <c r="B271" s="14" t="s">
        <v>521</v>
      </c>
      <c r="C271" s="10" t="s">
        <v>522</v>
      </c>
      <c r="D271" s="10" t="s">
        <v>523</v>
      </c>
      <c r="E271" s="10"/>
      <c r="F271" s="23"/>
      <c r="G271" s="23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9"/>
      <c r="B272" s="14" t="s">
        <v>524</v>
      </c>
      <c r="C272" s="10" t="s">
        <v>525</v>
      </c>
      <c r="D272" s="10" t="s">
        <v>526</v>
      </c>
      <c r="E272" s="10"/>
      <c r="F272" s="23"/>
      <c r="G272" s="23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9"/>
      <c r="B273" s="14" t="s">
        <v>527</v>
      </c>
      <c r="C273" s="10" t="s">
        <v>528</v>
      </c>
      <c r="D273" s="10" t="s">
        <v>529</v>
      </c>
      <c r="E273" s="10"/>
      <c r="F273" s="23"/>
      <c r="G273" s="23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9"/>
      <c r="B274" s="14" t="s">
        <v>530</v>
      </c>
      <c r="C274" s="10" t="s">
        <v>531</v>
      </c>
      <c r="D274" s="10" t="s">
        <v>523</v>
      </c>
      <c r="E274" s="10"/>
      <c r="F274" s="23"/>
      <c r="G274" s="23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9"/>
      <c r="B275" s="11" t="s">
        <v>532</v>
      </c>
      <c r="C275" s="10" t="s">
        <v>533</v>
      </c>
      <c r="D275" s="10" t="s">
        <v>29</v>
      </c>
      <c r="E275" s="10"/>
      <c r="F275" s="23"/>
      <c r="G275" s="23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9"/>
      <c r="B276" s="14" t="s">
        <v>534</v>
      </c>
      <c r="C276" s="13" t="s">
        <v>535</v>
      </c>
      <c r="D276" s="13" t="s">
        <v>29</v>
      </c>
      <c r="E276" s="13"/>
      <c r="F276" s="23"/>
      <c r="G276" s="23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9"/>
      <c r="B277" s="14" t="s">
        <v>536</v>
      </c>
      <c r="C277" s="10" t="s">
        <v>537</v>
      </c>
      <c r="D277" s="10" t="s">
        <v>29</v>
      </c>
      <c r="E277" s="10"/>
      <c r="F277" s="23"/>
      <c r="G277" s="23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9"/>
      <c r="B278" s="14" t="s">
        <v>538</v>
      </c>
      <c r="C278" s="10" t="s">
        <v>539</v>
      </c>
      <c r="D278" s="10" t="s">
        <v>540</v>
      </c>
      <c r="E278" s="10"/>
      <c r="F278" s="23"/>
      <c r="G278" s="23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9"/>
      <c r="B279" s="14" t="s">
        <v>541</v>
      </c>
      <c r="C279" s="10" t="s">
        <v>542</v>
      </c>
      <c r="D279" s="10" t="s">
        <v>543</v>
      </c>
      <c r="E279" s="10"/>
      <c r="F279" s="23"/>
      <c r="G279" s="23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9"/>
      <c r="B280" s="14" t="s">
        <v>544</v>
      </c>
      <c r="C280" s="10" t="s">
        <v>545</v>
      </c>
      <c r="D280" s="10" t="s">
        <v>546</v>
      </c>
      <c r="E280" s="10"/>
      <c r="F280" s="23"/>
      <c r="G280" s="23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9"/>
      <c r="B281" s="14" t="s">
        <v>547</v>
      </c>
      <c r="C281" s="10" t="s">
        <v>548</v>
      </c>
      <c r="D281" s="10" t="s">
        <v>549</v>
      </c>
      <c r="E281" s="10"/>
      <c r="F281" s="23"/>
      <c r="G281" s="23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9"/>
      <c r="B282" s="14" t="s">
        <v>550</v>
      </c>
      <c r="C282" s="10" t="s">
        <v>551</v>
      </c>
      <c r="D282" s="10" t="s">
        <v>552</v>
      </c>
      <c r="E282" s="10"/>
      <c r="F282" s="23"/>
      <c r="G282" s="23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9"/>
      <c r="B283" s="14" t="s">
        <v>553</v>
      </c>
      <c r="C283" s="10" t="s">
        <v>554</v>
      </c>
      <c r="D283" s="10" t="s">
        <v>552</v>
      </c>
      <c r="E283" s="10"/>
      <c r="F283" s="23"/>
      <c r="G283" s="23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9"/>
      <c r="B284" s="14" t="s">
        <v>555</v>
      </c>
      <c r="C284" s="10" t="s">
        <v>556</v>
      </c>
      <c r="D284" s="10" t="s">
        <v>557</v>
      </c>
      <c r="E284" s="10"/>
      <c r="F284" s="23"/>
      <c r="G284" s="23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9"/>
      <c r="B285" s="14" t="s">
        <v>558</v>
      </c>
      <c r="C285" s="10" t="s">
        <v>559</v>
      </c>
      <c r="D285" s="10" t="s">
        <v>560</v>
      </c>
      <c r="E285" s="10"/>
      <c r="F285" s="23"/>
      <c r="G285" s="23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9"/>
      <c r="B286" s="14" t="s">
        <v>561</v>
      </c>
      <c r="C286" s="10" t="s">
        <v>562</v>
      </c>
      <c r="D286" s="10" t="s">
        <v>563</v>
      </c>
      <c r="E286" s="10"/>
      <c r="F286" s="23"/>
      <c r="G286" s="23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9"/>
      <c r="B287" s="14" t="s">
        <v>564</v>
      </c>
      <c r="C287" s="10" t="s">
        <v>565</v>
      </c>
      <c r="D287" s="10" t="s">
        <v>566</v>
      </c>
      <c r="E287" s="10">
        <v>2.0</v>
      </c>
      <c r="F287" s="23"/>
      <c r="G287" s="23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9"/>
      <c r="B288" s="14" t="s">
        <v>567</v>
      </c>
      <c r="C288" s="10" t="s">
        <v>568</v>
      </c>
      <c r="D288" s="10" t="s">
        <v>569</v>
      </c>
      <c r="E288" s="10"/>
      <c r="F288" s="23"/>
      <c r="G288" s="23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9"/>
      <c r="B289" s="14" t="s">
        <v>570</v>
      </c>
      <c r="C289" s="10" t="s">
        <v>571</v>
      </c>
      <c r="D289" s="10" t="s">
        <v>572</v>
      </c>
      <c r="E289" s="10">
        <v>4.0</v>
      </c>
      <c r="F289" s="23"/>
      <c r="G289" s="23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9"/>
      <c r="B290" s="14" t="s">
        <v>573</v>
      </c>
      <c r="C290" s="10" t="s">
        <v>574</v>
      </c>
      <c r="D290" s="10" t="s">
        <v>575</v>
      </c>
      <c r="E290" s="10"/>
      <c r="F290" s="23"/>
      <c r="G290" s="23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9"/>
      <c r="B291" s="14" t="s">
        <v>576</v>
      </c>
      <c r="C291" s="10" t="s">
        <v>577</v>
      </c>
      <c r="D291" s="10" t="s">
        <v>578</v>
      </c>
      <c r="E291" s="10"/>
      <c r="F291" s="23"/>
      <c r="G291" s="23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9"/>
      <c r="B292" s="14" t="s">
        <v>579</v>
      </c>
      <c r="C292" s="10" t="s">
        <v>580</v>
      </c>
      <c r="D292" s="10" t="s">
        <v>581</v>
      </c>
      <c r="E292" s="10"/>
      <c r="F292" s="23"/>
      <c r="G292" s="23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9"/>
      <c r="B293" s="14" t="s">
        <v>582</v>
      </c>
      <c r="C293" s="10" t="s">
        <v>583</v>
      </c>
      <c r="D293" s="10" t="s">
        <v>581</v>
      </c>
      <c r="E293" s="10"/>
      <c r="F293" s="23"/>
      <c r="G293" s="23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9"/>
      <c r="B294" s="14" t="s">
        <v>584</v>
      </c>
      <c r="C294" s="10" t="s">
        <v>585</v>
      </c>
      <c r="D294" s="10" t="s">
        <v>581</v>
      </c>
      <c r="E294" s="10"/>
      <c r="F294" s="23"/>
      <c r="G294" s="23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9"/>
      <c r="B295" s="14" t="s">
        <v>586</v>
      </c>
      <c r="C295" s="10" t="s">
        <v>587</v>
      </c>
      <c r="D295" s="10" t="s">
        <v>581</v>
      </c>
      <c r="E295" s="10"/>
      <c r="F295" s="23"/>
      <c r="G295" s="23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9"/>
      <c r="B296" s="14" t="s">
        <v>588</v>
      </c>
      <c r="C296" s="10" t="s">
        <v>589</v>
      </c>
      <c r="D296" s="10" t="s">
        <v>590</v>
      </c>
      <c r="E296" s="10"/>
      <c r="F296" s="23"/>
      <c r="G296" s="23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9"/>
      <c r="B297" s="14" t="s">
        <v>591</v>
      </c>
      <c r="C297" s="10" t="s">
        <v>592</v>
      </c>
      <c r="D297" s="10" t="s">
        <v>593</v>
      </c>
      <c r="E297" s="10"/>
      <c r="F297" s="23"/>
      <c r="G297" s="23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9"/>
      <c r="B298" s="14" t="s">
        <v>594</v>
      </c>
      <c r="C298" s="10" t="s">
        <v>595</v>
      </c>
      <c r="D298" s="10" t="s">
        <v>596</v>
      </c>
      <c r="E298" s="10"/>
      <c r="F298" s="23"/>
      <c r="G298" s="23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9"/>
      <c r="B299" s="11" t="s">
        <v>597</v>
      </c>
      <c r="C299" s="10" t="s">
        <v>598</v>
      </c>
      <c r="D299" s="10" t="s">
        <v>599</v>
      </c>
      <c r="E299" s="10"/>
      <c r="F299" s="23"/>
      <c r="G299" s="23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9"/>
      <c r="B300" s="14" t="s">
        <v>600</v>
      </c>
      <c r="C300" s="10" t="s">
        <v>601</v>
      </c>
      <c r="D300" s="10" t="s">
        <v>602</v>
      </c>
      <c r="E300" s="10"/>
      <c r="F300" s="23"/>
      <c r="G300" s="23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9"/>
      <c r="B301" s="14" t="s">
        <v>603</v>
      </c>
      <c r="C301" s="10" t="s">
        <v>604</v>
      </c>
      <c r="D301" s="10" t="s">
        <v>605</v>
      </c>
      <c r="E301" s="10"/>
      <c r="F301" s="23"/>
      <c r="G301" s="23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9"/>
      <c r="B302" s="14" t="s">
        <v>606</v>
      </c>
      <c r="C302" s="10" t="s">
        <v>607</v>
      </c>
      <c r="D302" s="10" t="s">
        <v>608</v>
      </c>
      <c r="E302" s="10"/>
      <c r="F302" s="23"/>
      <c r="G302" s="23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9"/>
      <c r="B303" s="14" t="s">
        <v>609</v>
      </c>
      <c r="C303" s="10" t="s">
        <v>610</v>
      </c>
      <c r="D303" s="10" t="s">
        <v>611</v>
      </c>
      <c r="E303" s="10"/>
      <c r="F303" s="23"/>
      <c r="G303" s="23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9"/>
      <c r="B304" s="14" t="s">
        <v>612</v>
      </c>
      <c r="C304" s="10" t="s">
        <v>613</v>
      </c>
      <c r="D304" s="10" t="s">
        <v>614</v>
      </c>
      <c r="E304" s="10"/>
      <c r="F304" s="23"/>
      <c r="G304" s="23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9"/>
      <c r="B305" s="14" t="s">
        <v>615</v>
      </c>
      <c r="C305" s="10" t="s">
        <v>616</v>
      </c>
      <c r="D305" s="10" t="s">
        <v>617</v>
      </c>
      <c r="E305" s="10"/>
      <c r="F305" s="23"/>
      <c r="G305" s="23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9"/>
      <c r="B306" s="14" t="s">
        <v>618</v>
      </c>
      <c r="C306" s="10" t="s">
        <v>619</v>
      </c>
      <c r="D306" s="10" t="s">
        <v>611</v>
      </c>
      <c r="E306" s="10"/>
      <c r="F306" s="23"/>
      <c r="G306" s="23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9"/>
      <c r="B307" s="14" t="s">
        <v>620</v>
      </c>
      <c r="C307" s="10" t="s">
        <v>621</v>
      </c>
      <c r="D307" s="10" t="s">
        <v>622</v>
      </c>
      <c r="E307" s="10"/>
      <c r="F307" s="23"/>
      <c r="G307" s="23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9"/>
      <c r="B308" s="14" t="s">
        <v>623</v>
      </c>
      <c r="C308" s="10" t="s">
        <v>624</v>
      </c>
      <c r="D308" s="10" t="s">
        <v>625</v>
      </c>
      <c r="E308" s="10"/>
      <c r="F308" s="23"/>
      <c r="G308" s="23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9"/>
      <c r="B309" s="14" t="s">
        <v>626</v>
      </c>
      <c r="C309" s="10" t="s">
        <v>627</v>
      </c>
      <c r="D309" s="10" t="s">
        <v>628</v>
      </c>
      <c r="E309" s="10"/>
      <c r="F309" s="23"/>
      <c r="G309" s="23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9"/>
      <c r="B310" s="14" t="s">
        <v>629</v>
      </c>
      <c r="C310" s="10" t="s">
        <v>630</v>
      </c>
      <c r="D310" s="10" t="s">
        <v>631</v>
      </c>
      <c r="E310" s="10"/>
      <c r="F310" s="23"/>
      <c r="G310" s="23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9"/>
      <c r="B311" s="14" t="s">
        <v>632</v>
      </c>
      <c r="C311" s="10" t="s">
        <v>633</v>
      </c>
      <c r="D311" s="10" t="s">
        <v>634</v>
      </c>
      <c r="E311" s="10"/>
      <c r="F311" s="23"/>
      <c r="G311" s="23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9"/>
      <c r="B312" s="14" t="s">
        <v>564</v>
      </c>
      <c r="C312" s="10" t="s">
        <v>635</v>
      </c>
      <c r="D312" s="10" t="s">
        <v>636</v>
      </c>
      <c r="E312" s="10">
        <v>1.0</v>
      </c>
      <c r="F312" s="23"/>
      <c r="G312" s="23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9"/>
      <c r="B313" s="14" t="s">
        <v>637</v>
      </c>
      <c r="C313" s="10" t="s">
        <v>638</v>
      </c>
      <c r="D313" s="10" t="s">
        <v>639</v>
      </c>
      <c r="E313" s="10"/>
      <c r="F313" s="23"/>
      <c r="G313" s="23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9"/>
      <c r="B314" s="14" t="s">
        <v>640</v>
      </c>
      <c r="C314" s="10" t="s">
        <v>641</v>
      </c>
      <c r="D314" s="10" t="s">
        <v>642</v>
      </c>
      <c r="E314" s="27"/>
      <c r="F314" s="23"/>
      <c r="G314" s="23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9"/>
      <c r="B315" s="11" t="s">
        <v>643</v>
      </c>
      <c r="C315" s="10" t="s">
        <v>644</v>
      </c>
      <c r="D315" s="10" t="s">
        <v>645</v>
      </c>
      <c r="E315" s="13"/>
      <c r="F315" s="23"/>
      <c r="G315" s="23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9"/>
      <c r="B316" s="11" t="s">
        <v>646</v>
      </c>
      <c r="C316" s="10" t="s">
        <v>647</v>
      </c>
      <c r="D316" s="10" t="s">
        <v>648</v>
      </c>
      <c r="E316" s="10"/>
      <c r="F316" s="23"/>
      <c r="G316" s="23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9"/>
      <c r="B317" s="14" t="s">
        <v>649</v>
      </c>
      <c r="C317" s="10" t="s">
        <v>650</v>
      </c>
      <c r="D317" s="10" t="s">
        <v>651</v>
      </c>
      <c r="E317" s="10">
        <v>1.0</v>
      </c>
      <c r="F317" s="23"/>
      <c r="G317" s="23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9"/>
      <c r="B318" s="14" t="s">
        <v>652</v>
      </c>
      <c r="C318" s="10" t="s">
        <v>653</v>
      </c>
      <c r="D318" s="10" t="s">
        <v>651</v>
      </c>
      <c r="E318" s="10">
        <v>2.0</v>
      </c>
      <c r="F318" s="23"/>
      <c r="G318" s="23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9"/>
      <c r="B319" s="14" t="s">
        <v>654</v>
      </c>
      <c r="C319" s="10" t="s">
        <v>655</v>
      </c>
      <c r="D319" s="10" t="s">
        <v>651</v>
      </c>
      <c r="E319" s="10">
        <v>1.0</v>
      </c>
      <c r="F319" s="23"/>
      <c r="G319" s="23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9"/>
      <c r="B320" s="14" t="s">
        <v>656</v>
      </c>
      <c r="C320" s="10" t="s">
        <v>657</v>
      </c>
      <c r="D320" s="10" t="s">
        <v>651</v>
      </c>
      <c r="E320" s="10">
        <v>1.0</v>
      </c>
      <c r="F320" s="23"/>
      <c r="G320" s="23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9"/>
      <c r="B321" s="28"/>
      <c r="C321" s="25"/>
      <c r="D321" s="25"/>
      <c r="E321" s="25"/>
      <c r="F321" s="23"/>
      <c r="G321" s="23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9"/>
      <c r="B322" s="14" t="s">
        <v>658</v>
      </c>
      <c r="C322" s="10" t="s">
        <v>659</v>
      </c>
      <c r="D322" s="10" t="s">
        <v>32</v>
      </c>
      <c r="E322" s="10">
        <v>1.0</v>
      </c>
      <c r="F322" s="23"/>
      <c r="G322" s="23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9"/>
      <c r="B323" s="14" t="s">
        <v>660</v>
      </c>
      <c r="C323" s="10" t="s">
        <v>661</v>
      </c>
      <c r="D323" s="10" t="s">
        <v>622</v>
      </c>
      <c r="E323" s="10">
        <v>1.0</v>
      </c>
      <c r="F323" s="23"/>
      <c r="G323" s="23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9"/>
      <c r="B324" s="14" t="s">
        <v>662</v>
      </c>
      <c r="C324" s="10" t="s">
        <v>663</v>
      </c>
      <c r="D324" s="10" t="s">
        <v>664</v>
      </c>
      <c r="E324" s="10">
        <v>1.0</v>
      </c>
      <c r="F324" s="23"/>
      <c r="G324" s="23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9"/>
      <c r="B325" s="14" t="s">
        <v>665</v>
      </c>
      <c r="C325" s="10" t="s">
        <v>666</v>
      </c>
      <c r="D325" s="10" t="s">
        <v>667</v>
      </c>
      <c r="E325" s="10">
        <v>0.0</v>
      </c>
      <c r="F325" s="23"/>
      <c r="G325" s="23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9"/>
      <c r="B326" s="14" t="s">
        <v>668</v>
      </c>
      <c r="C326" s="10" t="s">
        <v>669</v>
      </c>
      <c r="D326" s="10" t="s">
        <v>670</v>
      </c>
      <c r="E326" s="10">
        <v>1.0</v>
      </c>
      <c r="F326" s="23"/>
      <c r="G326" s="23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9"/>
      <c r="B327" s="14" t="s">
        <v>671</v>
      </c>
      <c r="C327" s="10" t="s">
        <v>672</v>
      </c>
      <c r="D327" s="10" t="s">
        <v>673</v>
      </c>
      <c r="E327" s="10">
        <v>0.0</v>
      </c>
      <c r="F327" s="23"/>
      <c r="G327" s="23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9"/>
      <c r="B328" s="14" t="s">
        <v>674</v>
      </c>
      <c r="C328" s="10" t="s">
        <v>675</v>
      </c>
      <c r="D328" s="10" t="s">
        <v>676</v>
      </c>
      <c r="E328" s="10">
        <v>0.0</v>
      </c>
      <c r="F328" s="23"/>
      <c r="G328" s="23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9"/>
      <c r="B329" s="14" t="s">
        <v>677</v>
      </c>
      <c r="C329" s="10" t="s">
        <v>678</v>
      </c>
      <c r="D329" s="10" t="s">
        <v>679</v>
      </c>
      <c r="E329" s="10">
        <v>1.0</v>
      </c>
      <c r="F329" s="23"/>
      <c r="G329" s="23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9"/>
      <c r="B330" s="14" t="s">
        <v>680</v>
      </c>
      <c r="C330" s="10" t="s">
        <v>681</v>
      </c>
      <c r="D330" s="10" t="s">
        <v>682</v>
      </c>
      <c r="E330" s="10">
        <v>0.0</v>
      </c>
      <c r="F330" s="23"/>
      <c r="G330" s="23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9"/>
      <c r="B331" s="14" t="s">
        <v>683</v>
      </c>
      <c r="C331" s="10" t="s">
        <v>684</v>
      </c>
      <c r="D331" s="10" t="s">
        <v>685</v>
      </c>
      <c r="E331" s="10"/>
      <c r="F331" s="23"/>
      <c r="G331" s="23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9"/>
      <c r="B332" s="14" t="s">
        <v>686</v>
      </c>
      <c r="C332" s="10" t="s">
        <v>687</v>
      </c>
      <c r="D332" s="10" t="s">
        <v>688</v>
      </c>
      <c r="E332" s="10">
        <v>0.0</v>
      </c>
      <c r="F332" s="23"/>
      <c r="G332" s="23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9"/>
      <c r="B333" s="14" t="s">
        <v>689</v>
      </c>
      <c r="C333" s="10" t="s">
        <v>690</v>
      </c>
      <c r="D333" s="10" t="s">
        <v>69</v>
      </c>
      <c r="E333" s="10">
        <v>1.0</v>
      </c>
      <c r="F333" s="26" t="s">
        <v>691</v>
      </c>
      <c r="G333" s="23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9"/>
      <c r="B334" s="14" t="s">
        <v>692</v>
      </c>
      <c r="C334" s="10" t="s">
        <v>693</v>
      </c>
      <c r="D334" s="10" t="s">
        <v>69</v>
      </c>
      <c r="E334" s="10">
        <v>1.0</v>
      </c>
      <c r="F334" s="26" t="s">
        <v>694</v>
      </c>
      <c r="G334" s="23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9"/>
      <c r="B335" s="14" t="s">
        <v>695</v>
      </c>
      <c r="C335" s="10" t="s">
        <v>696</v>
      </c>
      <c r="D335" s="10" t="s">
        <v>697</v>
      </c>
      <c r="E335" s="10">
        <v>0.0</v>
      </c>
      <c r="F335" s="23"/>
      <c r="G335" s="23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9"/>
      <c r="B336" s="14" t="s">
        <v>698</v>
      </c>
      <c r="C336" s="10" t="s">
        <v>699</v>
      </c>
      <c r="D336" s="10" t="s">
        <v>700</v>
      </c>
      <c r="E336" s="10">
        <v>0.0</v>
      </c>
      <c r="F336" s="23"/>
      <c r="G336" s="23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9"/>
      <c r="B337" s="14" t="s">
        <v>701</v>
      </c>
      <c r="C337" s="10" t="s">
        <v>702</v>
      </c>
      <c r="D337" s="10" t="s">
        <v>703</v>
      </c>
      <c r="E337" s="10">
        <v>0.0</v>
      </c>
      <c r="F337" s="23"/>
      <c r="G337" s="23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9"/>
      <c r="B338" s="14" t="s">
        <v>704</v>
      </c>
      <c r="C338" s="10" t="s">
        <v>705</v>
      </c>
      <c r="D338" s="10" t="s">
        <v>706</v>
      </c>
      <c r="E338" s="10">
        <v>1.0</v>
      </c>
      <c r="F338" s="23"/>
      <c r="G338" s="23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9"/>
      <c r="B339" s="14" t="s">
        <v>707</v>
      </c>
      <c r="C339" s="10" t="s">
        <v>708</v>
      </c>
      <c r="D339" s="10" t="s">
        <v>709</v>
      </c>
      <c r="E339" s="10">
        <v>0.0</v>
      </c>
      <c r="F339" s="23"/>
      <c r="G339" s="23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9"/>
      <c r="B340" s="14" t="s">
        <v>707</v>
      </c>
      <c r="C340" s="10" t="s">
        <v>710</v>
      </c>
      <c r="D340" s="10" t="s">
        <v>709</v>
      </c>
      <c r="E340" s="10">
        <v>2.0</v>
      </c>
      <c r="F340" s="23"/>
      <c r="G340" s="23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9"/>
      <c r="B341" s="14" t="s">
        <v>711</v>
      </c>
      <c r="C341" s="10" t="s">
        <v>712</v>
      </c>
      <c r="D341" s="10" t="s">
        <v>713</v>
      </c>
      <c r="E341" s="10">
        <v>0.0</v>
      </c>
      <c r="F341" s="23"/>
      <c r="G341" s="23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9"/>
      <c r="B342" s="14" t="s">
        <v>714</v>
      </c>
      <c r="C342" s="10" t="s">
        <v>715</v>
      </c>
      <c r="D342" s="10" t="s">
        <v>716</v>
      </c>
      <c r="E342" s="10"/>
      <c r="F342" s="23"/>
      <c r="G342" s="23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9"/>
      <c r="B343" s="11" t="s">
        <v>717</v>
      </c>
      <c r="C343" s="10" t="s">
        <v>717</v>
      </c>
      <c r="D343" s="10" t="s">
        <v>716</v>
      </c>
      <c r="E343" s="10"/>
      <c r="F343" s="23"/>
      <c r="G343" s="23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9"/>
      <c r="B344" s="14" t="s">
        <v>718</v>
      </c>
      <c r="C344" s="10" t="s">
        <v>718</v>
      </c>
      <c r="D344" s="10" t="s">
        <v>716</v>
      </c>
      <c r="E344" s="10"/>
      <c r="F344" s="23"/>
      <c r="G344" s="23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9"/>
      <c r="B345" s="14" t="s">
        <v>719</v>
      </c>
      <c r="C345" s="10" t="s">
        <v>720</v>
      </c>
      <c r="D345" s="10" t="s">
        <v>721</v>
      </c>
      <c r="E345" s="10"/>
      <c r="F345" s="23"/>
      <c r="G345" s="23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9"/>
      <c r="B346" s="14" t="s">
        <v>722</v>
      </c>
      <c r="C346" s="10" t="s">
        <v>723</v>
      </c>
      <c r="D346" s="10" t="s">
        <v>724</v>
      </c>
      <c r="E346" s="10"/>
      <c r="F346" s="23"/>
      <c r="G346" s="23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9"/>
      <c r="B347" s="11" t="s">
        <v>725</v>
      </c>
      <c r="C347" s="10" t="s">
        <v>726</v>
      </c>
      <c r="D347" s="10" t="s">
        <v>727</v>
      </c>
      <c r="E347" s="10"/>
      <c r="F347" s="23"/>
      <c r="G347" s="23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9"/>
      <c r="B348" s="14" t="s">
        <v>728</v>
      </c>
      <c r="C348" s="10" t="s">
        <v>729</v>
      </c>
      <c r="D348" s="10" t="s">
        <v>730</v>
      </c>
      <c r="E348" s="10"/>
      <c r="F348" s="23"/>
      <c r="G348" s="23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9"/>
      <c r="B349" s="11" t="s">
        <v>731</v>
      </c>
      <c r="C349" s="10" t="s">
        <v>732</v>
      </c>
      <c r="D349" s="10" t="s">
        <v>733</v>
      </c>
      <c r="E349" s="10"/>
      <c r="F349" s="23"/>
      <c r="G349" s="23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9"/>
      <c r="B350" s="14" t="s">
        <v>734</v>
      </c>
      <c r="C350" s="10" t="s">
        <v>735</v>
      </c>
      <c r="D350" s="10" t="s">
        <v>736</v>
      </c>
      <c r="E350" s="10"/>
      <c r="F350" s="23"/>
      <c r="G350" s="23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9"/>
      <c r="B351" s="11" t="s">
        <v>737</v>
      </c>
      <c r="C351" s="10" t="s">
        <v>738</v>
      </c>
      <c r="D351" s="10" t="s">
        <v>739</v>
      </c>
      <c r="E351" s="10"/>
      <c r="F351" s="23"/>
      <c r="G351" s="23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9"/>
      <c r="B352" s="11" t="s">
        <v>740</v>
      </c>
      <c r="C352" s="10" t="s">
        <v>741</v>
      </c>
      <c r="D352" s="10" t="s">
        <v>742</v>
      </c>
      <c r="E352" s="10"/>
      <c r="F352" s="23"/>
      <c r="G352" s="23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9"/>
      <c r="B353" s="11" t="s">
        <v>743</v>
      </c>
      <c r="C353" s="10" t="s">
        <v>744</v>
      </c>
      <c r="D353" s="10" t="s">
        <v>745</v>
      </c>
      <c r="E353" s="10"/>
      <c r="F353" s="23"/>
      <c r="G353" s="23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9"/>
      <c r="B354" s="11" t="s">
        <v>746</v>
      </c>
      <c r="C354" s="25"/>
      <c r="D354" s="10" t="s">
        <v>747</v>
      </c>
      <c r="E354" s="10"/>
      <c r="F354" s="23"/>
      <c r="G354" s="23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9"/>
      <c r="B355" s="11" t="s">
        <v>748</v>
      </c>
      <c r="C355" s="25"/>
      <c r="D355" s="10" t="s">
        <v>749</v>
      </c>
      <c r="E355" s="10"/>
      <c r="F355" s="23"/>
      <c r="G355" s="23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9"/>
      <c r="B356" s="11" t="s">
        <v>750</v>
      </c>
      <c r="C356" s="25"/>
      <c r="D356" s="10" t="s">
        <v>747</v>
      </c>
      <c r="E356" s="10"/>
      <c r="F356" s="23"/>
      <c r="G356" s="23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9"/>
      <c r="B357" s="14" t="s">
        <v>751</v>
      </c>
      <c r="C357" s="10" t="s">
        <v>752</v>
      </c>
      <c r="D357" s="10" t="s">
        <v>753</v>
      </c>
      <c r="E357" s="10"/>
      <c r="F357" s="23"/>
      <c r="G357" s="23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9"/>
      <c r="B358" s="11" t="s">
        <v>754</v>
      </c>
      <c r="C358" s="10" t="s">
        <v>755</v>
      </c>
      <c r="D358" s="10" t="s">
        <v>69</v>
      </c>
      <c r="E358" s="10"/>
      <c r="F358" s="23"/>
      <c r="G358" s="23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9"/>
      <c r="B359" s="14" t="s">
        <v>756</v>
      </c>
      <c r="C359" s="10" t="s">
        <v>757</v>
      </c>
      <c r="D359" s="10" t="s">
        <v>758</v>
      </c>
      <c r="E359" s="10">
        <v>10.0</v>
      </c>
      <c r="F359" s="26" t="s">
        <v>759</v>
      </c>
      <c r="G359" s="26" t="s">
        <v>760</v>
      </c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9"/>
      <c r="B360" s="14" t="s">
        <v>761</v>
      </c>
      <c r="C360" s="29" t="s">
        <v>762</v>
      </c>
      <c r="D360" s="10" t="s">
        <v>763</v>
      </c>
      <c r="E360" s="10">
        <v>4.0</v>
      </c>
      <c r="F360" s="26" t="s">
        <v>764</v>
      </c>
      <c r="G360" s="26" t="s">
        <v>765</v>
      </c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9"/>
      <c r="B361" s="14" t="s">
        <v>766</v>
      </c>
      <c r="C361" s="10" t="s">
        <v>767</v>
      </c>
      <c r="D361" s="25"/>
      <c r="E361" s="10"/>
      <c r="F361" s="23"/>
      <c r="G361" s="23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9"/>
      <c r="B362" s="11" t="s">
        <v>768</v>
      </c>
      <c r="C362" s="10" t="s">
        <v>767</v>
      </c>
      <c r="D362" s="25"/>
      <c r="E362" s="10"/>
      <c r="F362" s="23"/>
      <c r="G362" s="23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9"/>
      <c r="B363" s="11" t="s">
        <v>769</v>
      </c>
      <c r="C363" s="10" t="s">
        <v>401</v>
      </c>
      <c r="D363" s="25"/>
      <c r="E363" s="10"/>
      <c r="F363" s="23"/>
      <c r="G363" s="23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9"/>
      <c r="B364" s="11" t="s">
        <v>770</v>
      </c>
      <c r="C364" s="10" t="s">
        <v>771</v>
      </c>
      <c r="D364" s="25"/>
      <c r="E364" s="10"/>
      <c r="F364" s="23"/>
      <c r="G364" s="23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9"/>
      <c r="B365" s="14" t="s">
        <v>772</v>
      </c>
      <c r="C365" s="13" t="s">
        <v>773</v>
      </c>
      <c r="D365" s="24"/>
      <c r="E365" s="13"/>
      <c r="F365" s="23"/>
      <c r="G365" s="23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9"/>
      <c r="B366" s="14" t="s">
        <v>774</v>
      </c>
      <c r="C366" s="10" t="s">
        <v>775</v>
      </c>
      <c r="D366" s="25"/>
      <c r="E366" s="10"/>
      <c r="F366" s="23"/>
      <c r="G366" s="23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9"/>
      <c r="B367" s="14" t="s">
        <v>776</v>
      </c>
      <c r="C367" s="10" t="s">
        <v>777</v>
      </c>
      <c r="D367" s="25"/>
      <c r="E367" s="10"/>
      <c r="F367" s="23"/>
      <c r="G367" s="23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9"/>
      <c r="B368" s="14" t="s">
        <v>778</v>
      </c>
      <c r="C368" s="10" t="s">
        <v>779</v>
      </c>
      <c r="D368" s="25"/>
      <c r="E368" s="10"/>
      <c r="F368" s="23"/>
      <c r="G368" s="23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9"/>
      <c r="B369" s="14" t="s">
        <v>780</v>
      </c>
      <c r="C369" s="10" t="s">
        <v>781</v>
      </c>
      <c r="D369" s="25"/>
      <c r="E369" s="10"/>
      <c r="F369" s="23"/>
      <c r="G369" s="23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9"/>
      <c r="B370" s="14" t="s">
        <v>782</v>
      </c>
      <c r="C370" s="10" t="s">
        <v>783</v>
      </c>
      <c r="D370" s="25"/>
      <c r="E370" s="10"/>
      <c r="F370" s="23"/>
      <c r="G370" s="23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9"/>
      <c r="B371" s="14" t="s">
        <v>784</v>
      </c>
      <c r="C371" s="10" t="s">
        <v>785</v>
      </c>
      <c r="D371" s="25"/>
      <c r="E371" s="10"/>
      <c r="F371" s="23"/>
      <c r="G371" s="23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9"/>
      <c r="B372" s="14" t="s">
        <v>786</v>
      </c>
      <c r="C372" s="10" t="s">
        <v>787</v>
      </c>
      <c r="D372" s="25"/>
      <c r="E372" s="10"/>
      <c r="F372" s="23"/>
      <c r="G372" s="23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9"/>
      <c r="B373" s="14" t="s">
        <v>788</v>
      </c>
      <c r="C373" s="10" t="s">
        <v>789</v>
      </c>
      <c r="D373" s="25"/>
      <c r="E373" s="10"/>
      <c r="F373" s="23"/>
      <c r="G373" s="23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9"/>
      <c r="B374" s="14" t="s">
        <v>790</v>
      </c>
      <c r="C374" s="10" t="s">
        <v>791</v>
      </c>
      <c r="D374" s="25"/>
      <c r="E374" s="10"/>
      <c r="F374" s="23"/>
      <c r="G374" s="23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9"/>
      <c r="B375" s="14" t="s">
        <v>792</v>
      </c>
      <c r="C375" s="10" t="s">
        <v>793</v>
      </c>
      <c r="D375" s="25"/>
      <c r="E375" s="10"/>
      <c r="F375" s="23"/>
      <c r="G375" s="23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9"/>
      <c r="B376" s="14" t="s">
        <v>794</v>
      </c>
      <c r="C376" s="10" t="s">
        <v>795</v>
      </c>
      <c r="D376" s="25"/>
      <c r="E376" s="10"/>
      <c r="F376" s="23"/>
      <c r="G376" s="23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9"/>
      <c r="B377" s="14" t="s">
        <v>796</v>
      </c>
      <c r="C377" s="10" t="s">
        <v>797</v>
      </c>
      <c r="D377" s="25"/>
      <c r="E377" s="10"/>
      <c r="F377" s="23"/>
      <c r="G377" s="23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9"/>
      <c r="B378" s="14" t="s">
        <v>798</v>
      </c>
      <c r="C378" s="10" t="s">
        <v>799</v>
      </c>
      <c r="D378" s="25"/>
      <c r="E378" s="10"/>
      <c r="F378" s="23"/>
      <c r="G378" s="23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9"/>
      <c r="B379" s="14" t="s">
        <v>800</v>
      </c>
      <c r="C379" s="10" t="s">
        <v>801</v>
      </c>
      <c r="D379" s="10" t="s">
        <v>802</v>
      </c>
      <c r="E379" s="10"/>
      <c r="F379" s="23"/>
      <c r="G379" s="23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9"/>
      <c r="B380" s="14" t="s">
        <v>803</v>
      </c>
      <c r="C380" s="10" t="s">
        <v>804</v>
      </c>
      <c r="D380" s="25"/>
      <c r="E380" s="10"/>
      <c r="F380" s="23"/>
      <c r="G380" s="23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9"/>
      <c r="B381" s="14" t="s">
        <v>805</v>
      </c>
      <c r="C381" s="10" t="s">
        <v>806</v>
      </c>
      <c r="D381" s="25"/>
      <c r="E381" s="10"/>
      <c r="F381" s="23"/>
      <c r="G381" s="23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9"/>
      <c r="B382" s="14" t="s">
        <v>807</v>
      </c>
      <c r="C382" s="10" t="s">
        <v>808</v>
      </c>
      <c r="D382" s="25"/>
      <c r="E382" s="10"/>
      <c r="F382" s="23"/>
      <c r="G382" s="23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9"/>
      <c r="B383" s="14" t="s">
        <v>809</v>
      </c>
      <c r="C383" s="10" t="s">
        <v>810</v>
      </c>
      <c r="D383" s="25"/>
      <c r="E383" s="10"/>
      <c r="F383" s="23"/>
      <c r="G383" s="23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9"/>
      <c r="B384" s="14" t="s">
        <v>811</v>
      </c>
      <c r="C384" s="10" t="s">
        <v>812</v>
      </c>
      <c r="D384" s="25"/>
      <c r="E384" s="10"/>
      <c r="F384" s="23"/>
      <c r="G384" s="23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9"/>
      <c r="B385" s="14" t="s">
        <v>813</v>
      </c>
      <c r="C385" s="10" t="s">
        <v>814</v>
      </c>
      <c r="D385" s="25"/>
      <c r="E385" s="10"/>
      <c r="F385" s="23"/>
      <c r="G385" s="23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9"/>
      <c r="B386" s="14" t="s">
        <v>815</v>
      </c>
      <c r="C386" s="10" t="s">
        <v>816</v>
      </c>
      <c r="D386" s="25"/>
      <c r="E386" s="10"/>
      <c r="F386" s="23"/>
      <c r="G386" s="23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9"/>
      <c r="B387" s="14" t="s">
        <v>817</v>
      </c>
      <c r="C387" s="10" t="s">
        <v>818</v>
      </c>
      <c r="D387" s="25"/>
      <c r="E387" s="10"/>
      <c r="F387" s="23"/>
      <c r="G387" s="23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9"/>
      <c r="B388" s="14" t="s">
        <v>819</v>
      </c>
      <c r="C388" s="10" t="s">
        <v>820</v>
      </c>
      <c r="D388" s="25"/>
      <c r="E388" s="10"/>
      <c r="F388" s="23"/>
      <c r="G388" s="23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9"/>
      <c r="B389" s="14" t="s">
        <v>821</v>
      </c>
      <c r="C389" s="10" t="s">
        <v>822</v>
      </c>
      <c r="D389" s="25"/>
      <c r="E389" s="10"/>
      <c r="F389" s="23"/>
      <c r="G389" s="23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9"/>
      <c r="B390" s="14" t="s">
        <v>823</v>
      </c>
      <c r="C390" s="10" t="s">
        <v>824</v>
      </c>
      <c r="D390" s="25"/>
      <c r="E390" s="10"/>
      <c r="F390" s="23"/>
      <c r="G390" s="23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9"/>
      <c r="B391" s="14" t="s">
        <v>825</v>
      </c>
      <c r="C391" s="10" t="s">
        <v>826</v>
      </c>
      <c r="D391" s="25"/>
      <c r="E391" s="10"/>
      <c r="F391" s="23"/>
      <c r="G391" s="23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9"/>
      <c r="B392" s="14" t="s">
        <v>827</v>
      </c>
      <c r="C392" s="10" t="s">
        <v>828</v>
      </c>
      <c r="D392" s="25"/>
      <c r="E392" s="10"/>
      <c r="F392" s="23"/>
      <c r="G392" s="23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9"/>
      <c r="B393" s="14" t="s">
        <v>829</v>
      </c>
      <c r="C393" s="10" t="s">
        <v>830</v>
      </c>
      <c r="D393" s="25"/>
      <c r="E393" s="10"/>
      <c r="F393" s="23"/>
      <c r="G393" s="23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9"/>
      <c r="B394" s="14" t="s">
        <v>831</v>
      </c>
      <c r="C394" s="10" t="s">
        <v>832</v>
      </c>
      <c r="D394" s="25"/>
      <c r="E394" s="10"/>
      <c r="F394" s="23"/>
      <c r="G394" s="23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9"/>
      <c r="B395" s="14" t="s">
        <v>833</v>
      </c>
      <c r="C395" s="10" t="s">
        <v>834</v>
      </c>
      <c r="D395" s="25"/>
      <c r="E395" s="10"/>
      <c r="F395" s="23"/>
      <c r="G395" s="23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9"/>
      <c r="B396" s="14" t="s">
        <v>835</v>
      </c>
      <c r="C396" s="10" t="s">
        <v>836</v>
      </c>
      <c r="D396" s="25"/>
      <c r="E396" s="10"/>
      <c r="F396" s="23"/>
      <c r="G396" s="23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9"/>
      <c r="B397" s="14"/>
      <c r="C397" s="10"/>
      <c r="D397" s="25"/>
      <c r="E397" s="10"/>
      <c r="F397" s="23"/>
      <c r="G397" s="23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9"/>
      <c r="B398" s="14" t="s">
        <v>837</v>
      </c>
      <c r="C398" s="10" t="s">
        <v>838</v>
      </c>
      <c r="D398" s="25"/>
      <c r="E398" s="10"/>
      <c r="F398" s="23"/>
      <c r="G398" s="23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9"/>
      <c r="B399" s="14" t="s">
        <v>839</v>
      </c>
      <c r="C399" s="10" t="s">
        <v>840</v>
      </c>
      <c r="D399" s="25"/>
      <c r="E399" s="10"/>
      <c r="F399" s="23"/>
      <c r="G399" s="23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9"/>
      <c r="B400" s="14" t="s">
        <v>841</v>
      </c>
      <c r="C400" s="10" t="s">
        <v>842</v>
      </c>
      <c r="D400" s="25"/>
      <c r="E400" s="10"/>
      <c r="F400" s="23"/>
      <c r="G400" s="23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9"/>
      <c r="B401" s="14" t="s">
        <v>843</v>
      </c>
      <c r="C401" s="10" t="s">
        <v>844</v>
      </c>
      <c r="D401" s="25"/>
      <c r="E401" s="10"/>
      <c r="F401" s="23"/>
      <c r="G401" s="23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9"/>
      <c r="B402" s="14" t="s">
        <v>845</v>
      </c>
      <c r="C402" s="10" t="s">
        <v>846</v>
      </c>
      <c r="D402" s="25"/>
      <c r="E402" s="10"/>
      <c r="F402" s="23"/>
      <c r="G402" s="23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9"/>
      <c r="B403" s="14" t="s">
        <v>847</v>
      </c>
      <c r="C403" s="10" t="s">
        <v>848</v>
      </c>
      <c r="D403" s="10"/>
      <c r="E403" s="10"/>
      <c r="F403" s="23"/>
      <c r="G403" s="23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9"/>
      <c r="B404" s="14" t="s">
        <v>849</v>
      </c>
      <c r="C404" s="10" t="s">
        <v>850</v>
      </c>
      <c r="D404" s="10"/>
      <c r="E404" s="10"/>
      <c r="F404" s="23"/>
      <c r="G404" s="23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9"/>
      <c r="B405" s="14" t="s">
        <v>851</v>
      </c>
      <c r="C405" s="10" t="s">
        <v>852</v>
      </c>
      <c r="D405" s="10"/>
      <c r="E405" s="10"/>
      <c r="F405" s="23"/>
      <c r="G405" s="23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9"/>
      <c r="B406" s="14" t="s">
        <v>853</v>
      </c>
      <c r="C406" s="10" t="s">
        <v>854</v>
      </c>
      <c r="D406" s="10"/>
      <c r="E406" s="10"/>
      <c r="F406" s="23"/>
      <c r="G406" s="23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9"/>
      <c r="B407" s="14" t="s">
        <v>855</v>
      </c>
      <c r="C407" s="10" t="s">
        <v>856</v>
      </c>
      <c r="D407" s="25"/>
      <c r="E407" s="10"/>
      <c r="F407" s="23"/>
      <c r="G407" s="23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9"/>
      <c r="B408" s="14" t="s">
        <v>857</v>
      </c>
      <c r="C408" s="10" t="s">
        <v>858</v>
      </c>
      <c r="D408" s="25"/>
      <c r="E408" s="10"/>
      <c r="F408" s="23"/>
      <c r="G408" s="23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9"/>
      <c r="B409" s="14" t="s">
        <v>859</v>
      </c>
      <c r="C409" s="10" t="s">
        <v>860</v>
      </c>
      <c r="D409" s="25"/>
      <c r="E409" s="10"/>
      <c r="F409" s="23"/>
      <c r="G409" s="23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9"/>
      <c r="B410" s="14" t="s">
        <v>861</v>
      </c>
      <c r="C410" s="10" t="s">
        <v>862</v>
      </c>
      <c r="D410" s="10"/>
      <c r="E410" s="10"/>
      <c r="F410" s="23"/>
      <c r="G410" s="23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9"/>
      <c r="B411" s="14" t="s">
        <v>863</v>
      </c>
      <c r="C411" s="10" t="s">
        <v>864</v>
      </c>
      <c r="D411" s="10"/>
      <c r="E411" s="10"/>
      <c r="F411" s="23"/>
      <c r="G411" s="23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9"/>
      <c r="B412" s="14" t="s">
        <v>865</v>
      </c>
      <c r="C412" s="10" t="s">
        <v>866</v>
      </c>
      <c r="D412" s="10"/>
      <c r="E412" s="10"/>
      <c r="F412" s="23"/>
      <c r="G412" s="23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9"/>
      <c r="B413" s="14" t="s">
        <v>867</v>
      </c>
      <c r="C413" s="10" t="s">
        <v>868</v>
      </c>
      <c r="D413" s="10"/>
      <c r="E413" s="10"/>
      <c r="F413" s="23"/>
      <c r="G413" s="23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9"/>
      <c r="B414" s="14" t="s">
        <v>869</v>
      </c>
      <c r="C414" s="10" t="s">
        <v>870</v>
      </c>
      <c r="D414" s="10"/>
      <c r="E414" s="10"/>
      <c r="F414" s="23"/>
      <c r="G414" s="23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9"/>
      <c r="B415" s="14" t="s">
        <v>871</v>
      </c>
      <c r="C415" s="10" t="s">
        <v>872</v>
      </c>
      <c r="D415" s="10"/>
      <c r="E415" s="10"/>
      <c r="F415" s="23"/>
      <c r="G415" s="23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9"/>
      <c r="B416" s="14" t="s">
        <v>873</v>
      </c>
      <c r="C416" s="10" t="s">
        <v>874</v>
      </c>
      <c r="D416" s="10"/>
      <c r="E416" s="10"/>
      <c r="F416" s="23"/>
      <c r="G416" s="23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9"/>
      <c r="B417" s="14" t="s">
        <v>875</v>
      </c>
      <c r="C417" s="10" t="s">
        <v>876</v>
      </c>
      <c r="D417" s="10"/>
      <c r="E417" s="10"/>
      <c r="F417" s="23"/>
      <c r="G417" s="23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9"/>
      <c r="B418" s="14" t="s">
        <v>877</v>
      </c>
      <c r="C418" s="10" t="s">
        <v>878</v>
      </c>
      <c r="D418" s="10"/>
      <c r="E418" s="10"/>
      <c r="F418" s="23"/>
      <c r="G418" s="23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9"/>
      <c r="B419" s="14" t="s">
        <v>879</v>
      </c>
      <c r="C419" s="10" t="s">
        <v>880</v>
      </c>
      <c r="D419" s="25"/>
      <c r="E419" s="10"/>
      <c r="F419" s="23"/>
      <c r="G419" s="23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9"/>
      <c r="B420" s="14" t="s">
        <v>881</v>
      </c>
      <c r="C420" s="10" t="s">
        <v>882</v>
      </c>
      <c r="D420" s="25"/>
      <c r="E420" s="10"/>
      <c r="F420" s="23"/>
      <c r="G420" s="23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9"/>
      <c r="B421" s="14" t="s">
        <v>883</v>
      </c>
      <c r="C421" s="10" t="s">
        <v>884</v>
      </c>
      <c r="D421" s="25"/>
      <c r="E421" s="10"/>
      <c r="F421" s="23"/>
      <c r="G421" s="23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9"/>
      <c r="B422" s="14" t="s">
        <v>885</v>
      </c>
      <c r="C422" s="10" t="s">
        <v>886</v>
      </c>
      <c r="D422" s="25"/>
      <c r="E422" s="10"/>
      <c r="F422" s="23"/>
      <c r="G422" s="23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9"/>
      <c r="B423" s="14" t="s">
        <v>887</v>
      </c>
      <c r="C423" s="10" t="s">
        <v>888</v>
      </c>
      <c r="D423" s="25"/>
      <c r="E423" s="10"/>
      <c r="F423" s="23"/>
      <c r="G423" s="23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9"/>
      <c r="B424" s="14" t="s">
        <v>889</v>
      </c>
      <c r="C424" s="10" t="s">
        <v>890</v>
      </c>
      <c r="D424" s="25"/>
      <c r="E424" s="10"/>
      <c r="F424" s="23"/>
      <c r="G424" s="23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9"/>
      <c r="B425" s="14" t="s">
        <v>891</v>
      </c>
      <c r="C425" s="10" t="s">
        <v>892</v>
      </c>
      <c r="D425" s="25"/>
      <c r="E425" s="10"/>
      <c r="F425" s="23"/>
      <c r="G425" s="23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9"/>
      <c r="B426" s="14" t="s">
        <v>893</v>
      </c>
      <c r="C426" s="10" t="s">
        <v>894</v>
      </c>
      <c r="D426" s="10"/>
      <c r="E426" s="10"/>
      <c r="F426" s="23"/>
      <c r="G426" s="23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9"/>
      <c r="B427" s="14" t="s">
        <v>895</v>
      </c>
      <c r="C427" s="10" t="s">
        <v>896</v>
      </c>
      <c r="D427" s="10"/>
      <c r="E427" s="10"/>
      <c r="F427" s="23"/>
      <c r="G427" s="23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9"/>
      <c r="B428" s="14" t="s">
        <v>897</v>
      </c>
      <c r="C428" s="10" t="s">
        <v>898</v>
      </c>
      <c r="D428" s="10"/>
      <c r="E428" s="10"/>
      <c r="F428" s="23"/>
      <c r="G428" s="23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9"/>
      <c r="B429" s="14" t="s">
        <v>899</v>
      </c>
      <c r="C429" s="10" t="s">
        <v>900</v>
      </c>
      <c r="D429" s="10"/>
      <c r="E429" s="10"/>
      <c r="F429" s="23"/>
      <c r="G429" s="23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9"/>
      <c r="B430" s="14" t="s">
        <v>901</v>
      </c>
      <c r="C430" s="10" t="s">
        <v>902</v>
      </c>
      <c r="D430" s="10"/>
      <c r="E430" s="10"/>
      <c r="F430" s="23"/>
      <c r="G430" s="23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9"/>
      <c r="B431" s="14" t="s">
        <v>903</v>
      </c>
      <c r="C431" s="10" t="s">
        <v>904</v>
      </c>
      <c r="D431" s="10"/>
      <c r="E431" s="10"/>
      <c r="F431" s="23"/>
      <c r="G431" s="23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9"/>
      <c r="B432" s="14" t="s">
        <v>905</v>
      </c>
      <c r="C432" s="10" t="s">
        <v>906</v>
      </c>
      <c r="D432" s="10"/>
      <c r="E432" s="10"/>
      <c r="F432" s="23"/>
      <c r="G432" s="23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9"/>
      <c r="B433" s="14" t="s">
        <v>907</v>
      </c>
      <c r="C433" s="10" t="s">
        <v>908</v>
      </c>
      <c r="D433" s="10"/>
      <c r="E433" s="10"/>
      <c r="F433" s="23"/>
      <c r="G433" s="23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9"/>
      <c r="B434" s="14" t="s">
        <v>909</v>
      </c>
      <c r="C434" s="10" t="s">
        <v>910</v>
      </c>
      <c r="D434" s="10"/>
      <c r="E434" s="10"/>
      <c r="F434" s="23"/>
      <c r="G434" s="23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9"/>
      <c r="B435" s="14" t="s">
        <v>911</v>
      </c>
      <c r="C435" s="10" t="s">
        <v>912</v>
      </c>
      <c r="D435" s="25"/>
      <c r="E435" s="10"/>
      <c r="F435" s="23"/>
      <c r="G435" s="23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9"/>
      <c r="B436" s="14" t="s">
        <v>913</v>
      </c>
      <c r="C436" s="10" t="s">
        <v>914</v>
      </c>
      <c r="D436" s="25"/>
      <c r="E436" s="10"/>
      <c r="F436" s="23"/>
      <c r="G436" s="23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9"/>
      <c r="B437" s="14" t="s">
        <v>915</v>
      </c>
      <c r="C437" s="10" t="s">
        <v>916</v>
      </c>
      <c r="D437" s="25"/>
      <c r="E437" s="10"/>
      <c r="F437" s="23"/>
      <c r="G437" s="23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9"/>
      <c r="B438" s="14" t="s">
        <v>917</v>
      </c>
      <c r="C438" s="10" t="s">
        <v>918</v>
      </c>
      <c r="D438" s="25"/>
      <c r="E438" s="10"/>
      <c r="F438" s="23"/>
      <c r="G438" s="23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9"/>
      <c r="B439" s="14" t="s">
        <v>919</v>
      </c>
      <c r="C439" s="10" t="s">
        <v>920</v>
      </c>
      <c r="D439" s="25"/>
      <c r="E439" s="10"/>
      <c r="F439" s="23"/>
      <c r="G439" s="23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9"/>
      <c r="B440" s="14" t="s">
        <v>921</v>
      </c>
      <c r="C440" s="10" t="s">
        <v>922</v>
      </c>
      <c r="D440" s="25"/>
      <c r="E440" s="10"/>
      <c r="F440" s="23"/>
      <c r="G440" s="23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9"/>
      <c r="B441" s="14"/>
      <c r="C441" s="10"/>
      <c r="D441" s="25"/>
      <c r="E441" s="10"/>
      <c r="F441" s="23"/>
      <c r="G441" s="23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9"/>
      <c r="B442" s="14" t="s">
        <v>923</v>
      </c>
      <c r="C442" s="10" t="s">
        <v>924</v>
      </c>
      <c r="D442" s="25"/>
      <c r="E442" s="10"/>
      <c r="F442" s="23"/>
      <c r="G442" s="23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9"/>
      <c r="B443" s="14" t="s">
        <v>925</v>
      </c>
      <c r="C443" s="10" t="s">
        <v>926</v>
      </c>
      <c r="D443" s="10" t="s">
        <v>927</v>
      </c>
      <c r="E443" s="10"/>
      <c r="F443" s="23"/>
      <c r="G443" s="23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9"/>
      <c r="B444" s="14" t="s">
        <v>928</v>
      </c>
      <c r="C444" s="10" t="s">
        <v>929</v>
      </c>
      <c r="D444" s="10" t="s">
        <v>930</v>
      </c>
      <c r="E444" s="10"/>
      <c r="F444" s="23"/>
      <c r="G444" s="23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9"/>
      <c r="B445" s="11" t="s">
        <v>931</v>
      </c>
      <c r="C445" s="10" t="s">
        <v>932</v>
      </c>
      <c r="D445" s="10" t="s">
        <v>930</v>
      </c>
      <c r="E445" s="10"/>
      <c r="F445" s="23"/>
      <c r="G445" s="23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9"/>
      <c r="B446" s="14" t="s">
        <v>933</v>
      </c>
      <c r="C446" s="10" t="s">
        <v>934</v>
      </c>
      <c r="D446" s="10" t="s">
        <v>930</v>
      </c>
      <c r="E446" s="10"/>
      <c r="F446" s="23"/>
      <c r="G446" s="23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9"/>
      <c r="B447" s="14" t="s">
        <v>935</v>
      </c>
      <c r="C447" s="10" t="s">
        <v>936</v>
      </c>
      <c r="D447" s="10" t="s">
        <v>930</v>
      </c>
      <c r="E447" s="10"/>
      <c r="F447" s="23"/>
      <c r="G447" s="23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9"/>
      <c r="B448" s="11" t="s">
        <v>937</v>
      </c>
      <c r="C448" s="10" t="s">
        <v>938</v>
      </c>
      <c r="D448" s="10" t="s">
        <v>930</v>
      </c>
      <c r="E448" s="10"/>
      <c r="F448" s="23"/>
      <c r="G448" s="23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9"/>
      <c r="B449" s="14" t="s">
        <v>939</v>
      </c>
      <c r="C449" s="10" t="s">
        <v>940</v>
      </c>
      <c r="D449" s="25"/>
      <c r="E449" s="10"/>
      <c r="F449" s="23"/>
      <c r="G449" s="23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9"/>
      <c r="B450" s="14" t="s">
        <v>941</v>
      </c>
      <c r="C450" s="10" t="s">
        <v>942</v>
      </c>
      <c r="D450" s="25"/>
      <c r="E450" s="10"/>
      <c r="F450" s="23"/>
      <c r="G450" s="23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9"/>
      <c r="B451" s="14" t="s">
        <v>943</v>
      </c>
      <c r="C451" s="10" t="s">
        <v>944</v>
      </c>
      <c r="D451" s="25"/>
      <c r="E451" s="10"/>
      <c r="F451" s="23"/>
      <c r="G451" s="23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9"/>
      <c r="B452" s="14" t="s">
        <v>945</v>
      </c>
      <c r="C452" s="10" t="s">
        <v>946</v>
      </c>
      <c r="D452" s="25"/>
      <c r="E452" s="10"/>
      <c r="F452" s="23"/>
      <c r="G452" s="23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9"/>
      <c r="B453" s="14" t="s">
        <v>947</v>
      </c>
      <c r="C453" s="10" t="s">
        <v>948</v>
      </c>
      <c r="D453" s="25"/>
      <c r="E453" s="10"/>
      <c r="F453" s="23"/>
      <c r="G453" s="23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9"/>
      <c r="B454" s="14" t="s">
        <v>949</v>
      </c>
      <c r="C454" s="10" t="s">
        <v>950</v>
      </c>
      <c r="D454" s="25"/>
      <c r="E454" s="10"/>
      <c r="F454" s="23"/>
      <c r="G454" s="23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9"/>
      <c r="B455" s="14" t="s">
        <v>951</v>
      </c>
      <c r="C455" s="10" t="s">
        <v>952</v>
      </c>
      <c r="D455" s="25"/>
      <c r="E455" s="10"/>
      <c r="F455" s="23"/>
      <c r="G455" s="23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9"/>
      <c r="B456" s="14" t="s">
        <v>953</v>
      </c>
      <c r="C456" s="10" t="s">
        <v>954</v>
      </c>
      <c r="D456" s="25"/>
      <c r="E456" s="10"/>
      <c r="F456" s="23"/>
      <c r="G456" s="23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9"/>
      <c r="B457" s="14"/>
      <c r="C457" s="10"/>
      <c r="D457" s="25"/>
      <c r="E457" s="10"/>
      <c r="F457" s="23"/>
      <c r="G457" s="23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9"/>
      <c r="B458" s="14" t="s">
        <v>955</v>
      </c>
      <c r="C458" s="10" t="s">
        <v>956</v>
      </c>
      <c r="D458" s="25"/>
      <c r="E458" s="10"/>
      <c r="F458" s="23"/>
      <c r="G458" s="23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9"/>
      <c r="B459" s="14" t="s">
        <v>957</v>
      </c>
      <c r="C459" s="10" t="s">
        <v>958</v>
      </c>
      <c r="D459" s="25"/>
      <c r="E459" s="10"/>
      <c r="F459" s="23"/>
      <c r="G459" s="23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9"/>
      <c r="B460" s="14" t="s">
        <v>959</v>
      </c>
      <c r="C460" s="10" t="s">
        <v>960</v>
      </c>
      <c r="D460" s="25"/>
      <c r="E460" s="10"/>
      <c r="F460" s="23"/>
      <c r="G460" s="23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9"/>
      <c r="B461" s="14" t="s">
        <v>961</v>
      </c>
      <c r="C461" s="10" t="s">
        <v>962</v>
      </c>
      <c r="D461" s="10" t="s">
        <v>963</v>
      </c>
      <c r="E461" s="10"/>
      <c r="F461" s="23"/>
      <c r="G461" s="23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9"/>
      <c r="B462" s="14" t="s">
        <v>964</v>
      </c>
      <c r="C462" s="10" t="s">
        <v>965</v>
      </c>
      <c r="D462" s="25"/>
      <c r="E462" s="10"/>
      <c r="F462" s="23"/>
      <c r="G462" s="23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9"/>
      <c r="B463" s="14" t="s">
        <v>966</v>
      </c>
      <c r="C463" s="10" t="s">
        <v>967</v>
      </c>
      <c r="D463" s="25"/>
      <c r="E463" s="10"/>
      <c r="F463" s="23"/>
      <c r="G463" s="23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9"/>
      <c r="B464" s="14" t="s">
        <v>968</v>
      </c>
      <c r="C464" s="10" t="s">
        <v>969</v>
      </c>
      <c r="D464" s="10" t="s">
        <v>970</v>
      </c>
      <c r="E464" s="10"/>
      <c r="F464" s="23"/>
      <c r="G464" s="23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9"/>
      <c r="B465" s="14" t="s">
        <v>971</v>
      </c>
      <c r="C465" s="10" t="s">
        <v>972</v>
      </c>
      <c r="D465" s="10" t="s">
        <v>973</v>
      </c>
      <c r="E465" s="10"/>
      <c r="F465" s="23"/>
      <c r="G465" s="23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9"/>
      <c r="B466" s="14" t="s">
        <v>974</v>
      </c>
      <c r="C466" s="10" t="s">
        <v>975</v>
      </c>
      <c r="D466" s="10" t="s">
        <v>976</v>
      </c>
      <c r="E466" s="10"/>
      <c r="F466" s="23"/>
      <c r="G466" s="23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9"/>
      <c r="B467" s="14" t="s">
        <v>977</v>
      </c>
      <c r="C467" s="10" t="s">
        <v>978</v>
      </c>
      <c r="D467" s="10" t="s">
        <v>979</v>
      </c>
      <c r="E467" s="10"/>
      <c r="F467" s="23"/>
      <c r="G467" s="23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9"/>
      <c r="B468" s="14" t="s">
        <v>980</v>
      </c>
      <c r="C468" s="10" t="s">
        <v>981</v>
      </c>
      <c r="D468" s="10" t="s">
        <v>982</v>
      </c>
      <c r="E468" s="10"/>
      <c r="F468" s="23"/>
      <c r="G468" s="23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9"/>
      <c r="B469" s="14" t="s">
        <v>983</v>
      </c>
      <c r="C469" s="10" t="s">
        <v>984</v>
      </c>
      <c r="D469" s="25"/>
      <c r="E469" s="10"/>
      <c r="F469" s="23"/>
      <c r="G469" s="23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9"/>
      <c r="B470" s="14" t="s">
        <v>985</v>
      </c>
      <c r="C470" s="10" t="s">
        <v>986</v>
      </c>
      <c r="D470" s="25"/>
      <c r="E470" s="10"/>
      <c r="F470" s="23"/>
      <c r="G470" s="23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9"/>
      <c r="B471" s="14" t="s">
        <v>987</v>
      </c>
      <c r="C471" s="10" t="s">
        <v>988</v>
      </c>
      <c r="D471" s="25"/>
      <c r="E471" s="10"/>
      <c r="F471" s="23"/>
      <c r="G471" s="23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9"/>
      <c r="B472" s="14" t="s">
        <v>989</v>
      </c>
      <c r="C472" s="10" t="s">
        <v>990</v>
      </c>
      <c r="D472" s="25"/>
      <c r="E472" s="10"/>
      <c r="F472" s="23"/>
      <c r="G472" s="23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9"/>
      <c r="B473" s="14" t="s">
        <v>991</v>
      </c>
      <c r="C473" s="10" t="s">
        <v>992</v>
      </c>
      <c r="D473" s="25"/>
      <c r="E473" s="10"/>
      <c r="F473" s="23"/>
      <c r="G473" s="23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9"/>
      <c r="B474" s="14" t="s">
        <v>993</v>
      </c>
      <c r="C474" s="10" t="s">
        <v>994</v>
      </c>
      <c r="D474" s="25"/>
      <c r="E474" s="10"/>
      <c r="F474" s="23"/>
      <c r="G474" s="23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9"/>
      <c r="B475" s="14" t="s">
        <v>995</v>
      </c>
      <c r="C475" s="10" t="s">
        <v>996</v>
      </c>
      <c r="D475" s="25"/>
      <c r="E475" s="10"/>
      <c r="F475" s="23"/>
      <c r="G475" s="23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9"/>
      <c r="B476" s="11" t="s">
        <v>997</v>
      </c>
      <c r="C476" s="10" t="s">
        <v>998</v>
      </c>
      <c r="D476" s="25"/>
      <c r="E476" s="10"/>
      <c r="F476" s="23"/>
      <c r="G476" s="23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9"/>
      <c r="B477" s="14" t="s">
        <v>999</v>
      </c>
      <c r="C477" s="10" t="s">
        <v>1000</v>
      </c>
      <c r="D477" s="10" t="s">
        <v>930</v>
      </c>
      <c r="E477" s="10"/>
      <c r="F477" s="23"/>
      <c r="G477" s="23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9"/>
      <c r="B478" s="11" t="s">
        <v>1001</v>
      </c>
      <c r="C478" s="10" t="s">
        <v>1002</v>
      </c>
      <c r="D478" s="10" t="s">
        <v>930</v>
      </c>
      <c r="E478" s="10"/>
      <c r="F478" s="23"/>
      <c r="G478" s="23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9"/>
      <c r="B479" s="11" t="s">
        <v>1003</v>
      </c>
      <c r="C479" s="10" t="s">
        <v>1004</v>
      </c>
      <c r="D479" s="10" t="s">
        <v>930</v>
      </c>
      <c r="E479" s="10"/>
      <c r="F479" s="23"/>
      <c r="G479" s="23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9"/>
      <c r="B480" s="11" t="s">
        <v>1005</v>
      </c>
      <c r="C480" s="10" t="s">
        <v>1006</v>
      </c>
      <c r="D480" s="10" t="s">
        <v>930</v>
      </c>
      <c r="E480" s="10"/>
      <c r="F480" s="23"/>
      <c r="G480" s="23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9"/>
      <c r="B481" s="14" t="s">
        <v>1007</v>
      </c>
      <c r="C481" s="10" t="s">
        <v>1008</v>
      </c>
      <c r="D481" s="25"/>
      <c r="E481" s="10"/>
      <c r="F481" s="23"/>
      <c r="G481" s="23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9"/>
      <c r="B482" s="14" t="s">
        <v>1009</v>
      </c>
      <c r="C482" s="10" t="s">
        <v>1010</v>
      </c>
      <c r="D482" s="10" t="s">
        <v>930</v>
      </c>
      <c r="E482" s="10"/>
      <c r="F482" s="23"/>
      <c r="G482" s="23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9"/>
      <c r="B483" s="11" t="s">
        <v>1011</v>
      </c>
      <c r="C483" s="10" t="s">
        <v>1012</v>
      </c>
      <c r="D483" s="10" t="s">
        <v>927</v>
      </c>
      <c r="E483" s="10"/>
      <c r="F483" s="23"/>
      <c r="G483" s="23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9"/>
      <c r="B484" s="11" t="s">
        <v>1013</v>
      </c>
      <c r="C484" s="10" t="s">
        <v>1014</v>
      </c>
      <c r="D484" s="10" t="s">
        <v>927</v>
      </c>
      <c r="E484" s="10"/>
      <c r="F484" s="23"/>
      <c r="G484" s="23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9"/>
      <c r="B485" s="11" t="s">
        <v>1015</v>
      </c>
      <c r="C485" s="10" t="s">
        <v>1016</v>
      </c>
      <c r="D485" s="10" t="s">
        <v>927</v>
      </c>
      <c r="E485" s="10"/>
      <c r="F485" s="23"/>
      <c r="G485" s="23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9"/>
      <c r="B486" s="11" t="s">
        <v>1017</v>
      </c>
      <c r="C486" s="10" t="s">
        <v>1018</v>
      </c>
      <c r="D486" s="10" t="s">
        <v>930</v>
      </c>
      <c r="E486" s="10"/>
      <c r="F486" s="23"/>
      <c r="G486" s="23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9"/>
      <c r="B487" s="14" t="s">
        <v>1019</v>
      </c>
      <c r="C487" s="10" t="s">
        <v>1020</v>
      </c>
      <c r="D487" s="10" t="s">
        <v>930</v>
      </c>
      <c r="E487" s="10"/>
      <c r="F487" s="23"/>
      <c r="G487" s="23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9"/>
      <c r="B488" s="14" t="s">
        <v>1021</v>
      </c>
      <c r="C488" s="10" t="s">
        <v>1022</v>
      </c>
      <c r="D488" s="10" t="s">
        <v>1023</v>
      </c>
      <c r="E488" s="10"/>
      <c r="F488" s="23"/>
      <c r="G488" s="23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9"/>
      <c r="B489" s="14" t="s">
        <v>1024</v>
      </c>
      <c r="C489" s="10" t="s">
        <v>1025</v>
      </c>
      <c r="D489" s="25"/>
      <c r="E489" s="10"/>
      <c r="F489" s="23"/>
      <c r="G489" s="23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9"/>
      <c r="B490" s="14" t="s">
        <v>1026</v>
      </c>
      <c r="C490" s="10" t="s">
        <v>1027</v>
      </c>
      <c r="D490" s="25"/>
      <c r="E490" s="10"/>
      <c r="F490" s="23"/>
      <c r="G490" s="23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9"/>
      <c r="B491" s="14" t="s">
        <v>1028</v>
      </c>
      <c r="C491" s="10" t="s">
        <v>1029</v>
      </c>
      <c r="D491" s="25"/>
      <c r="E491" s="10"/>
      <c r="F491" s="23"/>
      <c r="G491" s="23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9"/>
      <c r="B492" s="14" t="s">
        <v>1030</v>
      </c>
      <c r="C492" s="10" t="s">
        <v>1031</v>
      </c>
      <c r="D492" s="25"/>
      <c r="E492" s="10"/>
      <c r="F492" s="23"/>
      <c r="G492" s="23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9"/>
      <c r="B493" s="14" t="s">
        <v>1032</v>
      </c>
      <c r="C493" s="10" t="s">
        <v>1033</v>
      </c>
      <c r="D493" s="25"/>
      <c r="E493" s="10"/>
      <c r="F493" s="23"/>
      <c r="G493" s="23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9"/>
      <c r="B494" s="14" t="s">
        <v>1034</v>
      </c>
      <c r="C494" s="10" t="s">
        <v>1035</v>
      </c>
      <c r="D494" s="25"/>
      <c r="E494" s="10"/>
      <c r="F494" s="23"/>
      <c r="G494" s="23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9"/>
      <c r="B495" s="14" t="s">
        <v>1036</v>
      </c>
      <c r="C495" s="10" t="s">
        <v>1037</v>
      </c>
      <c r="D495" s="25"/>
      <c r="E495" s="10"/>
      <c r="F495" s="23"/>
      <c r="G495" s="23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9"/>
      <c r="B496" s="14" t="s">
        <v>1038</v>
      </c>
      <c r="C496" s="10" t="s">
        <v>1039</v>
      </c>
      <c r="D496" s="25"/>
      <c r="E496" s="10"/>
      <c r="F496" s="23"/>
      <c r="G496" s="23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9"/>
      <c r="B497" s="14" t="s">
        <v>1040</v>
      </c>
      <c r="C497" s="10" t="s">
        <v>1041</v>
      </c>
      <c r="D497" s="25"/>
      <c r="E497" s="10"/>
      <c r="F497" s="23"/>
      <c r="G497" s="23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9"/>
      <c r="B498" s="14" t="s">
        <v>1042</v>
      </c>
      <c r="C498" s="10" t="s">
        <v>1043</v>
      </c>
      <c r="D498" s="25"/>
      <c r="E498" s="10"/>
      <c r="F498" s="23"/>
      <c r="G498" s="23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9"/>
      <c r="B499" s="14" t="s">
        <v>1044</v>
      </c>
      <c r="C499" s="10" t="s">
        <v>1045</v>
      </c>
      <c r="D499" s="25"/>
      <c r="E499" s="10"/>
      <c r="F499" s="23"/>
      <c r="G499" s="23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9"/>
      <c r="B500" s="11" t="s">
        <v>1046</v>
      </c>
      <c r="C500" s="10" t="s">
        <v>1047</v>
      </c>
      <c r="D500" s="10" t="s">
        <v>1048</v>
      </c>
      <c r="E500" s="10"/>
      <c r="F500" s="23"/>
      <c r="G500" s="23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9"/>
      <c r="B501" s="11" t="s">
        <v>1049</v>
      </c>
      <c r="C501" s="10" t="s">
        <v>1050</v>
      </c>
      <c r="D501" s="10" t="s">
        <v>1048</v>
      </c>
      <c r="E501" s="10"/>
      <c r="F501" s="23"/>
      <c r="G501" s="23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9"/>
      <c r="B502" s="11" t="s">
        <v>1051</v>
      </c>
      <c r="C502" s="10" t="s">
        <v>1050</v>
      </c>
      <c r="D502" s="10" t="s">
        <v>1048</v>
      </c>
      <c r="E502" s="10"/>
      <c r="F502" s="23"/>
      <c r="G502" s="23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9"/>
      <c r="B503" s="11" t="s">
        <v>1052</v>
      </c>
      <c r="C503" s="10" t="s">
        <v>1053</v>
      </c>
      <c r="D503" s="25"/>
      <c r="E503" s="10"/>
      <c r="F503" s="23"/>
      <c r="G503" s="23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9"/>
      <c r="B504" s="11" t="s">
        <v>1054</v>
      </c>
      <c r="C504" s="10" t="s">
        <v>1055</v>
      </c>
      <c r="D504" s="25"/>
      <c r="E504" s="10"/>
      <c r="F504" s="23"/>
      <c r="G504" s="23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9"/>
      <c r="B505" s="14" t="s">
        <v>1056</v>
      </c>
      <c r="C505" s="10" t="s">
        <v>1057</v>
      </c>
      <c r="D505" s="25"/>
      <c r="E505" s="10"/>
      <c r="F505" s="23"/>
      <c r="G505" s="23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9"/>
      <c r="B506" s="11" t="s">
        <v>1058</v>
      </c>
      <c r="C506" s="10" t="s">
        <v>1059</v>
      </c>
      <c r="D506" s="10" t="s">
        <v>1060</v>
      </c>
      <c r="E506" s="10"/>
      <c r="F506" s="23"/>
      <c r="G506" s="23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9"/>
      <c r="B507" s="14" t="s">
        <v>1061</v>
      </c>
      <c r="C507" s="10" t="s">
        <v>1062</v>
      </c>
      <c r="D507" s="25"/>
      <c r="E507" s="10"/>
      <c r="F507" s="23"/>
      <c r="G507" s="23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9"/>
      <c r="B508" s="14" t="s">
        <v>1063</v>
      </c>
      <c r="C508" s="10" t="s">
        <v>1064</v>
      </c>
      <c r="D508" s="10" t="s">
        <v>1065</v>
      </c>
      <c r="E508" s="10"/>
      <c r="F508" s="23"/>
      <c r="G508" s="23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9"/>
      <c r="B509" s="14" t="s">
        <v>1066</v>
      </c>
      <c r="C509" s="10" t="s">
        <v>1067</v>
      </c>
      <c r="D509" s="10" t="s">
        <v>930</v>
      </c>
      <c r="E509" s="10"/>
      <c r="F509" s="23"/>
      <c r="G509" s="23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9"/>
      <c r="B510" s="14" t="s">
        <v>1068</v>
      </c>
      <c r="C510" s="10" t="s">
        <v>1069</v>
      </c>
      <c r="D510" s="10" t="s">
        <v>930</v>
      </c>
      <c r="E510" s="10"/>
      <c r="F510" s="23"/>
      <c r="G510" s="23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9"/>
      <c r="B511" s="14" t="s">
        <v>1070</v>
      </c>
      <c r="C511" s="10" t="s">
        <v>1071</v>
      </c>
      <c r="D511" s="10" t="s">
        <v>930</v>
      </c>
      <c r="E511" s="10"/>
      <c r="F511" s="23"/>
      <c r="G511" s="23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9"/>
      <c r="B512" s="14" t="s">
        <v>1072</v>
      </c>
      <c r="C512" s="10" t="s">
        <v>1073</v>
      </c>
      <c r="D512" s="10" t="s">
        <v>930</v>
      </c>
      <c r="E512" s="10"/>
      <c r="F512" s="23"/>
      <c r="G512" s="23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9"/>
      <c r="B513" s="14" t="s">
        <v>1074</v>
      </c>
      <c r="C513" s="10" t="s">
        <v>1075</v>
      </c>
      <c r="D513" s="10" t="s">
        <v>930</v>
      </c>
      <c r="E513" s="10"/>
      <c r="F513" s="23"/>
      <c r="G513" s="23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9"/>
      <c r="B514" s="14" t="s">
        <v>1076</v>
      </c>
      <c r="C514" s="10" t="s">
        <v>1077</v>
      </c>
      <c r="D514" s="10" t="s">
        <v>930</v>
      </c>
      <c r="E514" s="10"/>
      <c r="F514" s="23"/>
      <c r="G514" s="23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9"/>
      <c r="B515" s="14" t="s">
        <v>1078</v>
      </c>
      <c r="C515" s="10" t="s">
        <v>1079</v>
      </c>
      <c r="D515" s="10" t="s">
        <v>930</v>
      </c>
      <c r="E515" s="10"/>
      <c r="F515" s="23"/>
      <c r="G515" s="23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9"/>
      <c r="B516" s="14" t="s">
        <v>1080</v>
      </c>
      <c r="C516" s="10" t="s">
        <v>1081</v>
      </c>
      <c r="D516" s="10" t="s">
        <v>930</v>
      </c>
      <c r="E516" s="10"/>
      <c r="F516" s="23"/>
      <c r="G516" s="23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9"/>
      <c r="B517" s="11" t="s">
        <v>1082</v>
      </c>
      <c r="C517" s="10" t="s">
        <v>1083</v>
      </c>
      <c r="D517" s="10" t="s">
        <v>930</v>
      </c>
      <c r="E517" s="10"/>
      <c r="F517" s="23"/>
      <c r="G517" s="23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9"/>
      <c r="B518" s="11" t="s">
        <v>1084</v>
      </c>
      <c r="C518" s="25"/>
      <c r="D518" s="10" t="s">
        <v>930</v>
      </c>
      <c r="E518" s="10"/>
      <c r="F518" s="23"/>
      <c r="G518" s="23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9"/>
      <c r="B519" s="11" t="s">
        <v>1085</v>
      </c>
      <c r="C519" s="10" t="s">
        <v>1086</v>
      </c>
      <c r="D519" s="10" t="s">
        <v>1087</v>
      </c>
      <c r="E519" s="10"/>
      <c r="F519" s="23"/>
      <c r="G519" s="23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9"/>
      <c r="B520" s="11" t="s">
        <v>1088</v>
      </c>
      <c r="C520" s="10" t="s">
        <v>1089</v>
      </c>
      <c r="D520" s="25"/>
      <c r="E520" s="10"/>
      <c r="F520" s="23"/>
      <c r="G520" s="23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9"/>
      <c r="B521" s="11" t="s">
        <v>1090</v>
      </c>
      <c r="C521" s="10" t="s">
        <v>1091</v>
      </c>
      <c r="D521" s="25"/>
      <c r="E521" s="10"/>
      <c r="F521" s="23"/>
      <c r="G521" s="23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9"/>
      <c r="B522" s="14" t="s">
        <v>1092</v>
      </c>
      <c r="C522" s="10" t="s">
        <v>1093</v>
      </c>
      <c r="D522" s="25"/>
      <c r="E522" s="10"/>
      <c r="F522" s="23"/>
      <c r="G522" s="23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9"/>
      <c r="B523" s="14" t="s">
        <v>1094</v>
      </c>
      <c r="C523" s="10" t="s">
        <v>1095</v>
      </c>
      <c r="D523" s="10" t="s">
        <v>1096</v>
      </c>
      <c r="E523" s="10"/>
      <c r="F523" s="23"/>
      <c r="G523" s="23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9"/>
      <c r="B524" s="14" t="s">
        <v>1097</v>
      </c>
      <c r="C524" s="10" t="s">
        <v>1098</v>
      </c>
      <c r="D524" s="10" t="s">
        <v>1099</v>
      </c>
      <c r="E524" s="10"/>
      <c r="F524" s="23"/>
      <c r="G524" s="23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9"/>
      <c r="B525" s="14" t="s">
        <v>1100</v>
      </c>
      <c r="C525" s="10" t="s">
        <v>1101</v>
      </c>
      <c r="D525" s="10" t="s">
        <v>205</v>
      </c>
      <c r="E525" s="10">
        <v>3.0</v>
      </c>
      <c r="F525" s="23"/>
      <c r="G525" s="23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9"/>
      <c r="B526" s="14" t="s">
        <v>1102</v>
      </c>
      <c r="C526" s="10" t="s">
        <v>1103</v>
      </c>
      <c r="D526" s="10" t="s">
        <v>1099</v>
      </c>
      <c r="E526" s="10"/>
      <c r="F526" s="23"/>
      <c r="G526" s="23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9"/>
      <c r="B527" s="14" t="s">
        <v>1104</v>
      </c>
      <c r="C527" s="10" t="s">
        <v>1105</v>
      </c>
      <c r="D527" s="10" t="s">
        <v>1106</v>
      </c>
      <c r="E527" s="10"/>
      <c r="F527" s="23"/>
      <c r="G527" s="23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9"/>
      <c r="B528" s="14" t="s">
        <v>1107</v>
      </c>
      <c r="C528" s="10" t="s">
        <v>1108</v>
      </c>
      <c r="D528" s="10" t="s">
        <v>1106</v>
      </c>
      <c r="E528" s="10">
        <v>4.0</v>
      </c>
      <c r="F528" s="23"/>
      <c r="G528" s="23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9"/>
      <c r="B529" s="14" t="s">
        <v>1109</v>
      </c>
      <c r="C529" s="10" t="s">
        <v>1110</v>
      </c>
      <c r="D529" s="10" t="s">
        <v>1111</v>
      </c>
      <c r="E529" s="10">
        <v>5.0</v>
      </c>
      <c r="F529" s="23"/>
      <c r="G529" s="23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9"/>
      <c r="B530" s="14" t="s">
        <v>1112</v>
      </c>
      <c r="C530" s="10" t="s">
        <v>1113</v>
      </c>
      <c r="D530" s="10" t="s">
        <v>1111</v>
      </c>
      <c r="E530" s="10"/>
      <c r="F530" s="23"/>
      <c r="G530" s="23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9"/>
      <c r="B531" s="14" t="s">
        <v>1114</v>
      </c>
      <c r="C531" s="10" t="s">
        <v>1115</v>
      </c>
      <c r="D531" s="10" t="s">
        <v>1116</v>
      </c>
      <c r="E531" s="10"/>
      <c r="F531" s="23"/>
      <c r="G531" s="23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9"/>
      <c r="B532" s="14" t="s">
        <v>1117</v>
      </c>
      <c r="C532" s="10" t="s">
        <v>1118</v>
      </c>
      <c r="D532" s="10" t="s">
        <v>1111</v>
      </c>
      <c r="E532" s="10"/>
      <c r="F532" s="23"/>
      <c r="G532" s="23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9"/>
      <c r="B533" s="14" t="s">
        <v>1119</v>
      </c>
      <c r="C533" s="10" t="s">
        <v>1120</v>
      </c>
      <c r="D533" s="10" t="s">
        <v>1111</v>
      </c>
      <c r="E533" s="10"/>
      <c r="F533" s="23"/>
      <c r="G533" s="23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9"/>
      <c r="B534" s="14" t="s">
        <v>1121</v>
      </c>
      <c r="C534" s="10" t="s">
        <v>1122</v>
      </c>
      <c r="D534" s="10" t="s">
        <v>1111</v>
      </c>
      <c r="E534" s="10"/>
      <c r="F534" s="23"/>
      <c r="G534" s="23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9"/>
      <c r="B535" s="14" t="s">
        <v>1123</v>
      </c>
      <c r="C535" s="10" t="s">
        <v>1124</v>
      </c>
      <c r="D535" s="10" t="s">
        <v>1111</v>
      </c>
      <c r="E535" s="10"/>
      <c r="F535" s="23"/>
      <c r="G535" s="23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9"/>
      <c r="B536" s="14" t="s">
        <v>1125</v>
      </c>
      <c r="C536" s="10" t="s">
        <v>1126</v>
      </c>
      <c r="D536" s="10" t="s">
        <v>1111</v>
      </c>
      <c r="E536" s="10"/>
      <c r="F536" s="23"/>
      <c r="G536" s="23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9"/>
      <c r="B537" s="14" t="s">
        <v>1127</v>
      </c>
      <c r="C537" s="14" t="s">
        <v>1128</v>
      </c>
      <c r="D537" s="10" t="s">
        <v>1111</v>
      </c>
      <c r="E537" s="10"/>
      <c r="F537" s="23"/>
      <c r="G537" s="23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9"/>
      <c r="B538" s="14" t="s">
        <v>1129</v>
      </c>
      <c r="C538" s="14" t="s">
        <v>1130</v>
      </c>
      <c r="D538" s="14" t="s">
        <v>1111</v>
      </c>
      <c r="E538" s="14"/>
      <c r="F538" s="23"/>
      <c r="G538" s="23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9"/>
      <c r="B539" s="14" t="s">
        <v>1131</v>
      </c>
      <c r="C539" s="14" t="s">
        <v>1132</v>
      </c>
      <c r="D539" s="14" t="s">
        <v>1133</v>
      </c>
      <c r="E539" s="14"/>
      <c r="F539" s="23"/>
      <c r="G539" s="23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9"/>
      <c r="B540" s="14" t="s">
        <v>1134</v>
      </c>
      <c r="C540" s="14" t="s">
        <v>1135</v>
      </c>
      <c r="D540" s="14" t="s">
        <v>1136</v>
      </c>
      <c r="E540" s="14"/>
      <c r="F540" s="23"/>
      <c r="G540" s="23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9"/>
      <c r="B541" s="14" t="s">
        <v>1137</v>
      </c>
      <c r="C541" s="13" t="s">
        <v>1138</v>
      </c>
      <c r="D541" s="13" t="s">
        <v>1139</v>
      </c>
      <c r="E541" s="13"/>
      <c r="F541" s="23"/>
      <c r="G541" s="23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9"/>
      <c r="B542" s="14" t="s">
        <v>1140</v>
      </c>
      <c r="C542" s="10" t="s">
        <v>1141</v>
      </c>
      <c r="D542" s="10" t="s">
        <v>1139</v>
      </c>
      <c r="E542" s="10"/>
      <c r="F542" s="23"/>
      <c r="G542" s="23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9"/>
      <c r="B543" s="14" t="s">
        <v>1142</v>
      </c>
      <c r="C543" s="10" t="s">
        <v>1143</v>
      </c>
      <c r="D543" s="10" t="s">
        <v>1144</v>
      </c>
      <c r="E543" s="10"/>
      <c r="F543" s="23"/>
      <c r="G543" s="23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9"/>
      <c r="B544" s="14" t="s">
        <v>1145</v>
      </c>
      <c r="C544" s="10" t="s">
        <v>1146</v>
      </c>
      <c r="D544" s="10" t="s">
        <v>1147</v>
      </c>
      <c r="E544" s="10"/>
      <c r="F544" s="23"/>
      <c r="G544" s="23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9"/>
      <c r="B545" s="14" t="s">
        <v>1148</v>
      </c>
      <c r="C545" s="10" t="s">
        <v>1149</v>
      </c>
      <c r="D545" s="10" t="s">
        <v>1150</v>
      </c>
      <c r="E545" s="10"/>
      <c r="F545" s="23"/>
      <c r="G545" s="23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9"/>
      <c r="B546" s="14" t="s">
        <v>1151</v>
      </c>
      <c r="C546" s="10" t="s">
        <v>1152</v>
      </c>
      <c r="D546" s="10" t="s">
        <v>1153</v>
      </c>
      <c r="E546" s="10"/>
      <c r="F546" s="23"/>
      <c r="G546" s="23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9"/>
      <c r="B547" s="14" t="s">
        <v>1154</v>
      </c>
      <c r="C547" s="10" t="s">
        <v>1155</v>
      </c>
      <c r="D547" s="10" t="s">
        <v>1156</v>
      </c>
      <c r="E547" s="10"/>
      <c r="F547" s="23"/>
      <c r="G547" s="23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9"/>
      <c r="B548" s="14" t="s">
        <v>1157</v>
      </c>
      <c r="C548" s="10" t="s">
        <v>1158</v>
      </c>
      <c r="D548" s="10" t="s">
        <v>1144</v>
      </c>
      <c r="E548" s="10"/>
      <c r="F548" s="23"/>
      <c r="G548" s="23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9"/>
      <c r="B549" s="14" t="s">
        <v>1159</v>
      </c>
      <c r="C549" s="10" t="s">
        <v>1160</v>
      </c>
      <c r="D549" s="10" t="s">
        <v>1161</v>
      </c>
      <c r="E549" s="10"/>
      <c r="F549" s="23"/>
      <c r="G549" s="23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9"/>
      <c r="B550" s="14" t="s">
        <v>1162</v>
      </c>
      <c r="C550" s="10" t="s">
        <v>1163</v>
      </c>
      <c r="D550" s="10" t="s">
        <v>1161</v>
      </c>
      <c r="E550" s="10"/>
      <c r="F550" s="23"/>
      <c r="G550" s="23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9"/>
      <c r="B551" s="11" t="s">
        <v>1164</v>
      </c>
      <c r="C551" s="10" t="s">
        <v>1165</v>
      </c>
      <c r="D551" s="10" t="s">
        <v>1166</v>
      </c>
      <c r="E551" s="10"/>
      <c r="F551" s="23"/>
      <c r="G551" s="23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9"/>
      <c r="B552" s="14" t="s">
        <v>1167</v>
      </c>
      <c r="C552" s="10" t="s">
        <v>1168</v>
      </c>
      <c r="D552" s="10" t="s">
        <v>1169</v>
      </c>
      <c r="E552" s="10"/>
      <c r="F552" s="23"/>
      <c r="G552" s="23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9"/>
      <c r="B553" s="11" t="s">
        <v>1170</v>
      </c>
      <c r="C553" s="10" t="s">
        <v>1165</v>
      </c>
      <c r="D553" s="10" t="s">
        <v>1171</v>
      </c>
      <c r="E553" s="10"/>
      <c r="F553" s="23"/>
      <c r="G553" s="23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9"/>
      <c r="B554" s="11" t="s">
        <v>1172</v>
      </c>
      <c r="C554" s="10" t="s">
        <v>1173</v>
      </c>
      <c r="D554" s="10" t="s">
        <v>1174</v>
      </c>
      <c r="E554" s="10"/>
      <c r="F554" s="23"/>
      <c r="G554" s="23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9"/>
      <c r="B555" s="11" t="s">
        <v>1175</v>
      </c>
      <c r="C555" s="10" t="s">
        <v>1176</v>
      </c>
      <c r="D555" s="10" t="s">
        <v>1177</v>
      </c>
      <c r="E555" s="10"/>
      <c r="F555" s="23"/>
      <c r="G555" s="23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9"/>
      <c r="B556" s="11" t="s">
        <v>1178</v>
      </c>
      <c r="C556" s="10" t="s">
        <v>1179</v>
      </c>
      <c r="D556" s="10" t="s">
        <v>1177</v>
      </c>
      <c r="E556" s="10">
        <v>1.0</v>
      </c>
      <c r="F556" s="26" t="s">
        <v>1180</v>
      </c>
      <c r="G556" s="30" t="s">
        <v>1181</v>
      </c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9"/>
      <c r="B557" s="14" t="s">
        <v>1182</v>
      </c>
      <c r="C557" s="10" t="s">
        <v>1183</v>
      </c>
      <c r="D557" s="10" t="s">
        <v>1184</v>
      </c>
      <c r="E557" s="10"/>
      <c r="F557" s="23"/>
      <c r="G557" s="23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9"/>
      <c r="B558" s="14" t="s">
        <v>1185</v>
      </c>
      <c r="C558" s="10" t="s">
        <v>1186</v>
      </c>
      <c r="D558" s="10" t="s">
        <v>289</v>
      </c>
      <c r="E558" s="10"/>
      <c r="F558" s="23"/>
      <c r="G558" s="23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9"/>
      <c r="B559" s="14" t="s">
        <v>1187</v>
      </c>
      <c r="C559" s="10" t="s">
        <v>1186</v>
      </c>
      <c r="D559" s="10" t="s">
        <v>289</v>
      </c>
      <c r="E559" s="10"/>
      <c r="F559" s="23"/>
      <c r="G559" s="23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9"/>
      <c r="B560" s="14" t="s">
        <v>1188</v>
      </c>
      <c r="C560" s="10" t="s">
        <v>1186</v>
      </c>
      <c r="D560" s="10" t="s">
        <v>289</v>
      </c>
      <c r="E560" s="10"/>
      <c r="F560" s="23"/>
      <c r="G560" s="23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9"/>
      <c r="B561" s="14" t="s">
        <v>1189</v>
      </c>
      <c r="C561" s="10" t="s">
        <v>1186</v>
      </c>
      <c r="D561" s="10" t="s">
        <v>289</v>
      </c>
      <c r="E561" s="10"/>
      <c r="F561" s="23"/>
      <c r="G561" s="23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9"/>
      <c r="B562" s="14" t="s">
        <v>1190</v>
      </c>
      <c r="C562" s="10" t="s">
        <v>1186</v>
      </c>
      <c r="D562" s="10" t="s">
        <v>1191</v>
      </c>
      <c r="E562" s="10"/>
      <c r="F562" s="23"/>
      <c r="G562" s="23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9"/>
      <c r="B563" s="14" t="s">
        <v>1192</v>
      </c>
      <c r="C563" s="10" t="s">
        <v>1193</v>
      </c>
      <c r="D563" s="10" t="s">
        <v>1194</v>
      </c>
      <c r="E563" s="10">
        <v>3.0</v>
      </c>
      <c r="F563" s="23"/>
      <c r="G563" s="23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9"/>
      <c r="B564" s="14" t="s">
        <v>1195</v>
      </c>
      <c r="C564" s="10" t="s">
        <v>1196</v>
      </c>
      <c r="D564" s="10" t="s">
        <v>1194</v>
      </c>
      <c r="E564" s="10">
        <v>0.0</v>
      </c>
      <c r="F564" s="23"/>
      <c r="G564" s="23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9"/>
      <c r="B565" s="14" t="s">
        <v>1197</v>
      </c>
      <c r="C565" s="10" t="s">
        <v>1198</v>
      </c>
      <c r="D565" s="10" t="s">
        <v>1194</v>
      </c>
      <c r="E565" s="10">
        <v>0.0</v>
      </c>
      <c r="F565" s="23"/>
      <c r="G565" s="23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9"/>
      <c r="B566" s="14" t="s">
        <v>1199</v>
      </c>
      <c r="C566" s="25"/>
      <c r="D566" s="25"/>
      <c r="E566" s="25"/>
      <c r="F566" s="23"/>
      <c r="G566" s="23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9"/>
      <c r="B567" s="14" t="s">
        <v>1200</v>
      </c>
      <c r="C567" s="25"/>
      <c r="D567" s="25"/>
      <c r="E567" s="25"/>
      <c r="F567" s="23"/>
      <c r="G567" s="23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9"/>
      <c r="B568" s="14" t="s">
        <v>1201</v>
      </c>
      <c r="C568" s="25"/>
      <c r="D568" s="25"/>
      <c r="E568" s="25"/>
      <c r="F568" s="23"/>
      <c r="G568" s="23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9"/>
      <c r="B569" s="14" t="s">
        <v>1202</v>
      </c>
      <c r="C569" s="10" t="s">
        <v>1203</v>
      </c>
      <c r="D569" s="10" t="s">
        <v>1204</v>
      </c>
      <c r="E569" s="10">
        <v>1.0</v>
      </c>
      <c r="F569" s="26" t="s">
        <v>1205</v>
      </c>
      <c r="G569" s="23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9"/>
      <c r="B570" s="14" t="s">
        <v>1206</v>
      </c>
      <c r="C570" s="10" t="s">
        <v>1207</v>
      </c>
      <c r="D570" s="10" t="s">
        <v>1208</v>
      </c>
      <c r="E570" s="10"/>
      <c r="F570" s="23"/>
      <c r="G570" s="23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9"/>
      <c r="B571" s="14" t="s">
        <v>1209</v>
      </c>
      <c r="C571" s="10" t="s">
        <v>1207</v>
      </c>
      <c r="D571" s="10" t="s">
        <v>1208</v>
      </c>
      <c r="E571" s="10"/>
      <c r="F571" s="23"/>
      <c r="G571" s="23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9"/>
      <c r="B572" s="11" t="s">
        <v>1210</v>
      </c>
      <c r="C572" s="10" t="s">
        <v>1207</v>
      </c>
      <c r="D572" s="10" t="s">
        <v>1211</v>
      </c>
      <c r="E572" s="10"/>
      <c r="F572" s="23"/>
      <c r="G572" s="23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9"/>
      <c r="B573" s="14" t="s">
        <v>1212</v>
      </c>
      <c r="C573" s="10" t="s">
        <v>1213</v>
      </c>
      <c r="D573" s="10" t="s">
        <v>1214</v>
      </c>
      <c r="E573" s="10"/>
      <c r="F573" s="23"/>
      <c r="G573" s="23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9"/>
      <c r="B574" s="14" t="s">
        <v>1215</v>
      </c>
      <c r="C574" s="10" t="s">
        <v>1216</v>
      </c>
      <c r="D574" s="10" t="s">
        <v>1217</v>
      </c>
      <c r="E574" s="10"/>
      <c r="F574" s="23"/>
      <c r="G574" s="23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9"/>
      <c r="B575" s="14" t="s">
        <v>1218</v>
      </c>
      <c r="C575" s="10" t="s">
        <v>1219</v>
      </c>
      <c r="D575" s="10" t="s">
        <v>1220</v>
      </c>
      <c r="E575" s="10"/>
      <c r="F575" s="23"/>
      <c r="G575" s="23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9"/>
      <c r="B576" s="14" t="s">
        <v>1221</v>
      </c>
      <c r="C576" s="10" t="s">
        <v>1222</v>
      </c>
      <c r="D576" s="10" t="s">
        <v>1194</v>
      </c>
      <c r="E576" s="10">
        <v>1.0</v>
      </c>
      <c r="F576" s="23"/>
      <c r="G576" s="23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9"/>
      <c r="B577" s="14" t="s">
        <v>1223</v>
      </c>
      <c r="C577" s="10" t="s">
        <v>1224</v>
      </c>
      <c r="D577" s="10" t="s">
        <v>1225</v>
      </c>
      <c r="E577" s="10"/>
      <c r="F577" s="23"/>
      <c r="G577" s="23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9"/>
      <c r="B578" s="14" t="s">
        <v>1226</v>
      </c>
      <c r="C578" s="10" t="s">
        <v>1227</v>
      </c>
      <c r="D578" s="10" t="s">
        <v>1225</v>
      </c>
      <c r="E578" s="10"/>
      <c r="F578" s="23"/>
      <c r="G578" s="23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9"/>
      <c r="B579" s="11" t="s">
        <v>1228</v>
      </c>
      <c r="C579" s="10" t="s">
        <v>1229</v>
      </c>
      <c r="D579" s="10" t="s">
        <v>1225</v>
      </c>
      <c r="E579" s="10"/>
      <c r="F579" s="23"/>
      <c r="G579" s="23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9"/>
      <c r="B580" s="14" t="s">
        <v>1230</v>
      </c>
      <c r="C580" s="10" t="s">
        <v>1231</v>
      </c>
      <c r="D580" s="10" t="s">
        <v>1225</v>
      </c>
      <c r="E580" s="10"/>
      <c r="F580" s="23"/>
      <c r="G580" s="23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9"/>
      <c r="B581" s="14" t="s">
        <v>1232</v>
      </c>
      <c r="C581" s="10" t="s">
        <v>1233</v>
      </c>
      <c r="D581" s="10" t="s">
        <v>1225</v>
      </c>
      <c r="E581" s="10"/>
      <c r="F581" s="23"/>
      <c r="G581" s="23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9"/>
      <c r="B582" s="14" t="s">
        <v>1234</v>
      </c>
      <c r="C582" s="10" t="s">
        <v>1233</v>
      </c>
      <c r="D582" s="10" t="s">
        <v>1225</v>
      </c>
      <c r="E582" s="10"/>
      <c r="F582" s="23"/>
      <c r="G582" s="23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9"/>
      <c r="B583" s="14" t="s">
        <v>1235</v>
      </c>
      <c r="C583" s="10" t="s">
        <v>1236</v>
      </c>
      <c r="D583" s="10" t="s">
        <v>1225</v>
      </c>
      <c r="E583" s="10"/>
      <c r="F583" s="23"/>
      <c r="G583" s="23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9"/>
      <c r="B584" s="14" t="s">
        <v>1237</v>
      </c>
      <c r="C584" s="10" t="s">
        <v>1233</v>
      </c>
      <c r="D584" s="10" t="s">
        <v>1225</v>
      </c>
      <c r="E584" s="10"/>
      <c r="F584" s="23"/>
      <c r="G584" s="23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9"/>
      <c r="B585" s="11" t="s">
        <v>1238</v>
      </c>
      <c r="C585" s="10" t="s">
        <v>1239</v>
      </c>
      <c r="D585" s="10" t="s">
        <v>1225</v>
      </c>
      <c r="E585" s="10"/>
      <c r="F585" s="23"/>
      <c r="G585" s="23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9"/>
      <c r="B586" s="14" t="s">
        <v>1240</v>
      </c>
      <c r="C586" s="10" t="s">
        <v>1241</v>
      </c>
      <c r="D586" s="31" t="s">
        <v>1225</v>
      </c>
      <c r="E586" s="11"/>
      <c r="F586" s="23"/>
      <c r="G586" s="23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9"/>
      <c r="B587" s="14" t="s">
        <v>1242</v>
      </c>
      <c r="C587" s="10" t="s">
        <v>1243</v>
      </c>
      <c r="D587" s="31" t="s">
        <v>1225</v>
      </c>
      <c r="E587" s="11"/>
      <c r="F587" s="23"/>
      <c r="G587" s="23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9"/>
      <c r="B588" s="14" t="s">
        <v>1244</v>
      </c>
      <c r="C588" s="10" t="s">
        <v>1245</v>
      </c>
      <c r="D588" s="31" t="s">
        <v>1225</v>
      </c>
      <c r="E588" s="11"/>
      <c r="F588" s="23"/>
      <c r="G588" s="23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9"/>
      <c r="B589" s="14" t="s">
        <v>1246</v>
      </c>
      <c r="C589" s="10" t="s">
        <v>1247</v>
      </c>
      <c r="D589" s="31" t="s">
        <v>1248</v>
      </c>
      <c r="E589" s="11"/>
      <c r="F589" s="23"/>
      <c r="G589" s="23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9"/>
      <c r="B590" s="14" t="s">
        <v>1249</v>
      </c>
      <c r="C590" s="10" t="s">
        <v>1250</v>
      </c>
      <c r="D590" s="31" t="s">
        <v>1225</v>
      </c>
      <c r="E590" s="11"/>
      <c r="F590" s="23"/>
      <c r="G590" s="23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9"/>
      <c r="B591" s="28"/>
      <c r="C591" s="25"/>
      <c r="D591" s="32"/>
      <c r="E591" s="33"/>
      <c r="F591" s="23"/>
      <c r="G591" s="1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9"/>
      <c r="B592" s="14" t="s">
        <v>1251</v>
      </c>
      <c r="C592" s="10" t="s">
        <v>1252</v>
      </c>
      <c r="D592" s="31" t="s">
        <v>1253</v>
      </c>
      <c r="E592" s="11"/>
      <c r="F592" s="23"/>
      <c r="G592" s="1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9"/>
      <c r="B593" s="14" t="s">
        <v>1254</v>
      </c>
      <c r="C593" s="10" t="s">
        <v>1255</v>
      </c>
      <c r="D593" s="31" t="s">
        <v>1253</v>
      </c>
      <c r="E593" s="11"/>
      <c r="F593" s="23"/>
      <c r="G593" s="1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9"/>
      <c r="B594" s="14" t="s">
        <v>1256</v>
      </c>
      <c r="C594" s="10" t="s">
        <v>1257</v>
      </c>
      <c r="D594" s="10" t="s">
        <v>1253</v>
      </c>
      <c r="E594" s="11"/>
      <c r="F594" s="23"/>
      <c r="G594" s="1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9"/>
      <c r="B595" s="14" t="s">
        <v>1258</v>
      </c>
      <c r="C595" s="10" t="s">
        <v>1259</v>
      </c>
      <c r="D595" s="32"/>
      <c r="E595" s="11"/>
      <c r="F595" s="23"/>
      <c r="G595" s="1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9"/>
      <c r="B596" s="14" t="s">
        <v>1260</v>
      </c>
      <c r="C596" s="10" t="s">
        <v>1261</v>
      </c>
      <c r="D596" s="32"/>
      <c r="E596" s="11"/>
      <c r="F596" s="23"/>
      <c r="G596" s="1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9"/>
      <c r="B597" s="14" t="s">
        <v>1262</v>
      </c>
      <c r="C597" s="10" t="s">
        <v>1263</v>
      </c>
      <c r="D597" s="31" t="s">
        <v>1264</v>
      </c>
      <c r="E597" s="11"/>
      <c r="F597" s="23"/>
      <c r="G597" s="1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9"/>
      <c r="B598" s="14" t="s">
        <v>1265</v>
      </c>
      <c r="C598" s="10" t="s">
        <v>1266</v>
      </c>
      <c r="D598" s="32"/>
      <c r="E598" s="11"/>
      <c r="F598" s="23"/>
      <c r="G598" s="1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9"/>
      <c r="B599" s="14" t="s">
        <v>1267</v>
      </c>
      <c r="C599" s="10" t="s">
        <v>1268</v>
      </c>
      <c r="D599" s="32"/>
      <c r="E599" s="11"/>
      <c r="F599" s="23"/>
      <c r="G599" s="1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9"/>
      <c r="B600" s="14" t="s">
        <v>1269</v>
      </c>
      <c r="C600" s="10" t="s">
        <v>1266</v>
      </c>
      <c r="D600" s="32"/>
      <c r="E600" s="11"/>
      <c r="F600" s="23"/>
      <c r="G600" s="1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9"/>
      <c r="B601" s="14" t="s">
        <v>1270</v>
      </c>
      <c r="C601" s="10" t="s">
        <v>1271</v>
      </c>
      <c r="D601" s="32"/>
      <c r="E601" s="11"/>
      <c r="F601" s="23"/>
      <c r="G601" s="1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9"/>
      <c r="B602" s="14" t="s">
        <v>1272</v>
      </c>
      <c r="C602" s="10" t="s">
        <v>1273</v>
      </c>
      <c r="D602" s="32"/>
      <c r="E602" s="11"/>
      <c r="F602" s="23"/>
      <c r="G602" s="1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9"/>
      <c r="B603" s="14" t="s">
        <v>1274</v>
      </c>
      <c r="C603" s="10" t="s">
        <v>1263</v>
      </c>
      <c r="D603" s="31" t="s">
        <v>1225</v>
      </c>
      <c r="E603" s="11"/>
      <c r="F603" s="23"/>
      <c r="G603" s="1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9"/>
      <c r="B604" s="14" t="s">
        <v>1275</v>
      </c>
      <c r="C604" s="10" t="s">
        <v>1276</v>
      </c>
      <c r="D604" s="10" t="s">
        <v>1217</v>
      </c>
      <c r="E604" s="10"/>
      <c r="F604" s="23"/>
      <c r="G604" s="1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9"/>
      <c r="B605" s="14" t="s">
        <v>1277</v>
      </c>
      <c r="C605" s="10" t="s">
        <v>1278</v>
      </c>
      <c r="D605" s="10" t="s">
        <v>1217</v>
      </c>
      <c r="E605" s="10"/>
      <c r="F605" s="23"/>
      <c r="G605" s="1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9"/>
      <c r="B606" s="14" t="s">
        <v>1279</v>
      </c>
      <c r="C606" s="25"/>
      <c r="D606" s="25"/>
      <c r="E606" s="25"/>
      <c r="F606" s="23"/>
      <c r="G606" s="1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9"/>
      <c r="B607" s="14" t="s">
        <v>1280</v>
      </c>
      <c r="C607" s="25"/>
      <c r="D607" s="25"/>
      <c r="E607" s="25"/>
      <c r="F607" s="23"/>
      <c r="G607" s="1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9"/>
      <c r="C608" s="10" t="s">
        <v>1281</v>
      </c>
      <c r="D608" s="10" t="s">
        <v>1282</v>
      </c>
      <c r="E608" s="10">
        <v>0.0</v>
      </c>
      <c r="F608" s="23"/>
      <c r="G608" s="1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9"/>
      <c r="B609" s="14" t="s">
        <v>1283</v>
      </c>
      <c r="C609" s="10" t="s">
        <v>1284</v>
      </c>
      <c r="D609" s="10" t="s">
        <v>1282</v>
      </c>
      <c r="E609" s="10">
        <v>0.0</v>
      </c>
      <c r="F609" s="23"/>
      <c r="G609" s="1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9"/>
      <c r="B610" s="11" t="s">
        <v>1285</v>
      </c>
      <c r="C610" s="10" t="s">
        <v>1286</v>
      </c>
      <c r="D610" s="10" t="s">
        <v>48</v>
      </c>
      <c r="E610" s="10">
        <v>11.0</v>
      </c>
      <c r="F610" s="23"/>
      <c r="G610" s="1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9"/>
      <c r="B611" s="11" t="s">
        <v>1287</v>
      </c>
      <c r="C611" s="10" t="s">
        <v>1288</v>
      </c>
      <c r="D611" s="10" t="s">
        <v>48</v>
      </c>
      <c r="E611" s="10">
        <v>8.0</v>
      </c>
      <c r="F611" s="23"/>
      <c r="G611" s="1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9"/>
      <c r="B612" s="11" t="s">
        <v>1289</v>
      </c>
      <c r="C612" s="10" t="s">
        <v>1290</v>
      </c>
      <c r="D612" s="10" t="s">
        <v>48</v>
      </c>
      <c r="E612" s="10">
        <v>21.0</v>
      </c>
      <c r="F612" s="23"/>
      <c r="G612" s="1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9"/>
      <c r="B613" s="14" t="s">
        <v>1291</v>
      </c>
      <c r="C613" s="10" t="s">
        <v>1292</v>
      </c>
      <c r="D613" s="10" t="s">
        <v>48</v>
      </c>
      <c r="E613" s="10">
        <v>4.0</v>
      </c>
      <c r="F613" s="23"/>
      <c r="G613" s="1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9"/>
      <c r="B614" s="14" t="s">
        <v>1293</v>
      </c>
      <c r="C614" s="10" t="s">
        <v>1294</v>
      </c>
      <c r="D614" s="10" t="s">
        <v>48</v>
      </c>
      <c r="E614" s="10">
        <v>2.0</v>
      </c>
      <c r="F614" s="23"/>
      <c r="G614" s="1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9"/>
      <c r="B615" s="11" t="s">
        <v>1295</v>
      </c>
      <c r="C615" s="10" t="s">
        <v>1296</v>
      </c>
      <c r="D615" s="10" t="s">
        <v>48</v>
      </c>
      <c r="E615" s="10">
        <v>14.0</v>
      </c>
      <c r="F615" s="23"/>
      <c r="G615" s="1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9"/>
      <c r="B616" s="11" t="s">
        <v>1297</v>
      </c>
      <c r="C616" s="10" t="s">
        <v>1290</v>
      </c>
      <c r="D616" s="10" t="s">
        <v>48</v>
      </c>
      <c r="E616" s="10">
        <v>2.0</v>
      </c>
      <c r="F616" s="23"/>
      <c r="G616" s="1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9"/>
      <c r="B617" s="14" t="s">
        <v>1298</v>
      </c>
      <c r="C617" s="10" t="s">
        <v>1299</v>
      </c>
      <c r="D617" s="10" t="s">
        <v>48</v>
      </c>
      <c r="E617" s="10">
        <v>1.0</v>
      </c>
      <c r="F617" s="23"/>
      <c r="G617" s="1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9"/>
      <c r="B618" s="14" t="s">
        <v>1300</v>
      </c>
      <c r="C618" s="10" t="s">
        <v>1299</v>
      </c>
      <c r="D618" s="10" t="s">
        <v>48</v>
      </c>
      <c r="E618" s="10">
        <v>3.0</v>
      </c>
      <c r="F618" s="23"/>
      <c r="G618" s="1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9"/>
      <c r="B619" s="11" t="s">
        <v>1301</v>
      </c>
      <c r="C619" s="10" t="s">
        <v>1302</v>
      </c>
      <c r="D619" s="10" t="s">
        <v>48</v>
      </c>
      <c r="E619" s="10">
        <v>9.0</v>
      </c>
      <c r="F619" s="23"/>
      <c r="G619" s="1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9"/>
      <c r="B620" s="11" t="s">
        <v>1303</v>
      </c>
      <c r="C620" s="10" t="s">
        <v>1302</v>
      </c>
      <c r="D620" s="10" t="s">
        <v>48</v>
      </c>
      <c r="E620" s="10">
        <v>5.0</v>
      </c>
      <c r="F620" s="23"/>
      <c r="G620" s="1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9"/>
      <c r="B621" s="11" t="s">
        <v>1304</v>
      </c>
      <c r="C621" s="10" t="s">
        <v>1305</v>
      </c>
      <c r="D621" s="10" t="s">
        <v>48</v>
      </c>
      <c r="E621" s="10">
        <v>15.0</v>
      </c>
      <c r="F621" s="23"/>
      <c r="G621" s="1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9"/>
      <c r="B622" s="14" t="s">
        <v>1306</v>
      </c>
      <c r="C622" s="10" t="s">
        <v>1307</v>
      </c>
      <c r="D622" s="10" t="s">
        <v>48</v>
      </c>
      <c r="E622" s="10">
        <v>1.0</v>
      </c>
      <c r="F622" s="23"/>
      <c r="G622" s="1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9"/>
      <c r="B623" s="11" t="s">
        <v>1308</v>
      </c>
      <c r="C623" s="10" t="s">
        <v>1309</v>
      </c>
      <c r="D623" s="10" t="s">
        <v>48</v>
      </c>
      <c r="E623" s="10">
        <v>10.0</v>
      </c>
      <c r="F623" s="23"/>
      <c r="G623" s="1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9"/>
      <c r="B624" s="11" t="s">
        <v>1308</v>
      </c>
      <c r="C624" s="10" t="s">
        <v>1310</v>
      </c>
      <c r="D624" s="10" t="s">
        <v>48</v>
      </c>
      <c r="E624" s="10">
        <v>6.0</v>
      </c>
      <c r="F624" s="23"/>
      <c r="G624" s="1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9"/>
      <c r="B625" s="14" t="s">
        <v>1311</v>
      </c>
      <c r="C625" s="10" t="s">
        <v>1312</v>
      </c>
      <c r="D625" s="10" t="s">
        <v>48</v>
      </c>
      <c r="E625" s="10">
        <v>1.0</v>
      </c>
      <c r="F625" s="23"/>
      <c r="G625" s="1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9"/>
      <c r="B626" s="11" t="s">
        <v>1313</v>
      </c>
      <c r="C626" s="10" t="s">
        <v>1314</v>
      </c>
      <c r="D626" s="10" t="s">
        <v>48</v>
      </c>
      <c r="E626" s="10">
        <v>18.0</v>
      </c>
      <c r="F626" s="23"/>
      <c r="G626" s="1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9"/>
      <c r="B627" s="11" t="s">
        <v>1315</v>
      </c>
      <c r="C627" s="10" t="s">
        <v>1316</v>
      </c>
      <c r="D627" s="10" t="s">
        <v>48</v>
      </c>
      <c r="E627" s="10">
        <v>9.0</v>
      </c>
      <c r="F627" s="23"/>
      <c r="G627" s="1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9"/>
      <c r="B628" s="11" t="s">
        <v>1317</v>
      </c>
      <c r="C628" s="10" t="s">
        <v>1318</v>
      </c>
      <c r="D628" s="10" t="s">
        <v>48</v>
      </c>
      <c r="E628" s="10">
        <v>10.0</v>
      </c>
      <c r="F628" s="23"/>
      <c r="G628" s="1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9"/>
      <c r="B629" s="11" t="s">
        <v>1319</v>
      </c>
      <c r="C629" s="10" t="s">
        <v>1314</v>
      </c>
      <c r="D629" s="10" t="s">
        <v>48</v>
      </c>
      <c r="E629" s="10">
        <v>10.0</v>
      </c>
      <c r="F629" s="23"/>
      <c r="G629" s="1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9"/>
      <c r="B630" s="11" t="s">
        <v>1320</v>
      </c>
      <c r="C630" s="10" t="s">
        <v>1314</v>
      </c>
      <c r="D630" s="10" t="s">
        <v>48</v>
      </c>
      <c r="E630" s="10">
        <v>10.0</v>
      </c>
      <c r="F630" s="23"/>
      <c r="G630" s="1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9"/>
      <c r="B631" s="11" t="s">
        <v>1321</v>
      </c>
      <c r="C631" s="10" t="s">
        <v>1314</v>
      </c>
      <c r="D631" s="10" t="s">
        <v>48</v>
      </c>
      <c r="E631" s="10">
        <v>10.0</v>
      </c>
      <c r="F631" s="23"/>
      <c r="G631" s="1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9"/>
      <c r="B632" s="14" t="s">
        <v>1322</v>
      </c>
      <c r="C632" s="10" t="s">
        <v>1314</v>
      </c>
      <c r="D632" s="10" t="s">
        <v>48</v>
      </c>
      <c r="E632" s="10">
        <v>2.0</v>
      </c>
      <c r="F632" s="23"/>
      <c r="G632" s="1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9"/>
      <c r="B633" s="11" t="s">
        <v>1323</v>
      </c>
      <c r="C633" s="10" t="s">
        <v>1314</v>
      </c>
      <c r="D633" s="10" t="s">
        <v>48</v>
      </c>
      <c r="E633" s="10">
        <v>13.0</v>
      </c>
      <c r="F633" s="23"/>
      <c r="G633" s="1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9"/>
      <c r="B634" s="11" t="s">
        <v>1324</v>
      </c>
      <c r="C634" s="10" t="s">
        <v>1325</v>
      </c>
      <c r="D634" s="10" t="s">
        <v>48</v>
      </c>
      <c r="E634" s="10">
        <v>34.0</v>
      </c>
      <c r="F634" s="23"/>
      <c r="G634" s="1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9"/>
      <c r="B635" s="14" t="s">
        <v>1326</v>
      </c>
      <c r="C635" s="10" t="s">
        <v>1327</v>
      </c>
      <c r="D635" s="10" t="s">
        <v>1328</v>
      </c>
      <c r="E635" s="10">
        <v>1.0</v>
      </c>
      <c r="F635" s="23"/>
      <c r="G635" s="1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9"/>
      <c r="B636" s="14" t="s">
        <v>1326</v>
      </c>
      <c r="C636" s="10" t="s">
        <v>1329</v>
      </c>
      <c r="D636" s="10" t="s">
        <v>1330</v>
      </c>
      <c r="E636" s="10">
        <v>2.0</v>
      </c>
      <c r="F636" s="23"/>
      <c r="G636" s="1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9"/>
      <c r="B637" s="14" t="s">
        <v>1331</v>
      </c>
      <c r="C637" s="10" t="s">
        <v>1332</v>
      </c>
      <c r="D637" s="10" t="s">
        <v>1333</v>
      </c>
      <c r="E637" s="10">
        <v>0.0</v>
      </c>
      <c r="F637" s="23"/>
      <c r="G637" s="1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9"/>
      <c r="B638" s="11" t="s">
        <v>1334</v>
      </c>
      <c r="C638" s="10" t="s">
        <v>1335</v>
      </c>
      <c r="D638" s="10" t="s">
        <v>1225</v>
      </c>
      <c r="E638" s="10">
        <v>6.0</v>
      </c>
      <c r="F638" s="23"/>
      <c r="G638" s="1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9"/>
      <c r="B639" s="11" t="s">
        <v>1336</v>
      </c>
      <c r="C639" s="10" t="s">
        <v>1337</v>
      </c>
      <c r="D639" s="10" t="s">
        <v>1225</v>
      </c>
      <c r="E639" s="10">
        <v>36.0</v>
      </c>
      <c r="F639" s="23"/>
      <c r="G639" s="1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9"/>
      <c r="B640" s="11" t="s">
        <v>1338</v>
      </c>
      <c r="C640" s="10" t="s">
        <v>1337</v>
      </c>
      <c r="D640" s="10" t="s">
        <v>1225</v>
      </c>
      <c r="E640" s="10">
        <v>33.0</v>
      </c>
      <c r="F640" s="23"/>
      <c r="G640" s="1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9"/>
      <c r="B641" s="11" t="s">
        <v>1339</v>
      </c>
      <c r="C641" s="10" t="s">
        <v>1337</v>
      </c>
      <c r="D641" s="10" t="s">
        <v>1225</v>
      </c>
      <c r="E641" s="10">
        <v>24.0</v>
      </c>
      <c r="F641" s="23"/>
      <c r="G641" s="1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9"/>
      <c r="B642" s="14" t="s">
        <v>1340</v>
      </c>
      <c r="C642" s="10" t="s">
        <v>1341</v>
      </c>
      <c r="D642" s="10" t="s">
        <v>1342</v>
      </c>
      <c r="E642" s="10">
        <v>1.0</v>
      </c>
      <c r="F642" s="23"/>
      <c r="G642" s="1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9"/>
      <c r="B643" s="11" t="s">
        <v>1343</v>
      </c>
      <c r="C643" s="10" t="s">
        <v>1344</v>
      </c>
      <c r="D643" s="10" t="s">
        <v>1225</v>
      </c>
      <c r="E643" s="10">
        <v>4.0</v>
      </c>
      <c r="F643" s="23"/>
      <c r="G643" s="1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9"/>
      <c r="B644" s="11" t="s">
        <v>1343</v>
      </c>
      <c r="C644" s="10" t="s">
        <v>1345</v>
      </c>
      <c r="D644" s="10" t="s">
        <v>1225</v>
      </c>
      <c r="E644" s="10">
        <v>10.0</v>
      </c>
      <c r="F644" s="23"/>
      <c r="G644" s="1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9"/>
      <c r="B645" s="11" t="s">
        <v>1343</v>
      </c>
      <c r="C645" s="10" t="s">
        <v>1346</v>
      </c>
      <c r="D645" s="10" t="s">
        <v>1225</v>
      </c>
      <c r="E645" s="10">
        <v>10.0</v>
      </c>
      <c r="F645" s="23"/>
      <c r="G645" s="1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9"/>
      <c r="B646" s="11" t="s">
        <v>1347</v>
      </c>
      <c r="C646" s="10" t="s">
        <v>1348</v>
      </c>
      <c r="D646" s="10"/>
      <c r="E646" s="10"/>
      <c r="F646" s="23"/>
      <c r="G646" s="1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9"/>
      <c r="B647" s="14" t="s">
        <v>1349</v>
      </c>
      <c r="C647" s="14" t="s">
        <v>1350</v>
      </c>
      <c r="D647" s="28"/>
      <c r="E647" s="14">
        <v>5.0</v>
      </c>
      <c r="F647" s="23"/>
      <c r="G647" s="1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9"/>
      <c r="B648" s="14" t="s">
        <v>1351</v>
      </c>
      <c r="C648" s="14" t="s">
        <v>1352</v>
      </c>
      <c r="D648" s="28"/>
      <c r="E648" s="14"/>
      <c r="F648" s="23"/>
      <c r="G648" s="1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9"/>
      <c r="B649" s="14" t="s">
        <v>1353</v>
      </c>
      <c r="C649" s="14" t="s">
        <v>1354</v>
      </c>
      <c r="D649" s="14" t="s">
        <v>1355</v>
      </c>
      <c r="E649" s="14">
        <v>10.0</v>
      </c>
      <c r="F649" s="23"/>
      <c r="G649" s="1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9"/>
      <c r="B650" s="14" t="s">
        <v>1356</v>
      </c>
      <c r="C650" s="14" t="s">
        <v>1357</v>
      </c>
      <c r="D650" s="28"/>
      <c r="E650" s="14">
        <v>6.0</v>
      </c>
      <c r="F650" s="23"/>
      <c r="G650" s="1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9"/>
      <c r="B651" s="14" t="s">
        <v>1358</v>
      </c>
      <c r="C651" s="14" t="s">
        <v>1359</v>
      </c>
      <c r="D651" s="14" t="s">
        <v>1360</v>
      </c>
      <c r="E651" s="14">
        <v>0.0</v>
      </c>
      <c r="F651" s="23"/>
      <c r="G651" s="1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9"/>
      <c r="B652" s="14" t="s">
        <v>1361</v>
      </c>
      <c r="C652" s="14" t="s">
        <v>1362</v>
      </c>
      <c r="D652" s="14" t="s">
        <v>1363</v>
      </c>
      <c r="E652" s="14"/>
      <c r="F652" s="23"/>
      <c r="G652" s="1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9"/>
      <c r="B653" s="14" t="s">
        <v>1364</v>
      </c>
      <c r="C653" s="14" t="s">
        <v>1365</v>
      </c>
      <c r="D653" s="14" t="s">
        <v>1366</v>
      </c>
      <c r="E653" s="14">
        <v>0.0</v>
      </c>
      <c r="F653" s="23"/>
      <c r="G653" s="1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9"/>
      <c r="B654" s="14" t="s">
        <v>1367</v>
      </c>
      <c r="C654" s="14" t="s">
        <v>1368</v>
      </c>
      <c r="D654" s="28"/>
      <c r="E654" s="14">
        <v>10.0</v>
      </c>
      <c r="F654" s="23"/>
      <c r="G654" s="1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9"/>
      <c r="B655" s="14" t="s">
        <v>1369</v>
      </c>
      <c r="C655" s="14" t="s">
        <v>1370</v>
      </c>
      <c r="D655" s="28"/>
      <c r="E655" s="14">
        <v>14.0</v>
      </c>
      <c r="F655" s="23"/>
      <c r="G655" s="1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9"/>
      <c r="B656" s="14" t="s">
        <v>1371</v>
      </c>
      <c r="C656" s="14" t="s">
        <v>1372</v>
      </c>
      <c r="D656" s="28"/>
      <c r="E656" s="14">
        <v>11.0</v>
      </c>
      <c r="F656" s="23"/>
      <c r="G656" s="1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9"/>
      <c r="B657" s="14" t="s">
        <v>1373</v>
      </c>
      <c r="C657" s="14" t="s">
        <v>1374</v>
      </c>
      <c r="D657" s="28"/>
      <c r="E657" s="14">
        <v>6.0</v>
      </c>
      <c r="F657" s="23"/>
      <c r="G657" s="1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9"/>
      <c r="B658" s="14" t="s">
        <v>1375</v>
      </c>
      <c r="C658" s="14" t="s">
        <v>1376</v>
      </c>
      <c r="D658" s="14" t="s">
        <v>1377</v>
      </c>
      <c r="E658" s="14">
        <v>9.0</v>
      </c>
      <c r="F658" s="23"/>
      <c r="G658" s="1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9"/>
      <c r="B659" s="14" t="s">
        <v>1378</v>
      </c>
      <c r="C659" s="14" t="s">
        <v>1379</v>
      </c>
      <c r="D659" s="28"/>
      <c r="E659" s="14">
        <v>6.0</v>
      </c>
      <c r="F659" s="23"/>
      <c r="G659" s="1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9"/>
      <c r="B660" s="14" t="s">
        <v>1380</v>
      </c>
      <c r="C660" s="14" t="s">
        <v>1381</v>
      </c>
      <c r="D660" s="14" t="s">
        <v>1382</v>
      </c>
      <c r="E660" s="14">
        <v>5.0</v>
      </c>
      <c r="F660" s="23"/>
      <c r="G660" s="1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9"/>
      <c r="B661" s="14" t="s">
        <v>1383</v>
      </c>
      <c r="C661" s="14" t="s">
        <v>1384</v>
      </c>
      <c r="D661" s="28"/>
      <c r="E661" s="14">
        <v>4.0</v>
      </c>
      <c r="F661" s="23"/>
      <c r="G661" s="1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9"/>
      <c r="B662" s="14" t="s">
        <v>1385</v>
      </c>
      <c r="C662" s="14" t="s">
        <v>1386</v>
      </c>
      <c r="D662" s="28"/>
      <c r="E662" s="14"/>
      <c r="F662" s="23"/>
      <c r="G662" s="1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9"/>
      <c r="B663" s="14" t="s">
        <v>1387</v>
      </c>
      <c r="C663" s="14" t="s">
        <v>1388</v>
      </c>
      <c r="D663" s="28"/>
      <c r="E663" s="14">
        <v>1.0</v>
      </c>
      <c r="F663" s="23"/>
      <c r="G663" s="1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9"/>
      <c r="B664" s="14" t="s">
        <v>1389</v>
      </c>
      <c r="C664" s="14" t="s">
        <v>1390</v>
      </c>
      <c r="D664" s="28"/>
      <c r="E664" s="14">
        <v>8.0</v>
      </c>
      <c r="F664" s="23"/>
      <c r="G664" s="1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9"/>
      <c r="B665" s="14" t="s">
        <v>1391</v>
      </c>
      <c r="C665" s="14" t="s">
        <v>1392</v>
      </c>
      <c r="D665" s="14" t="s">
        <v>1393</v>
      </c>
      <c r="E665" s="14">
        <v>6.0</v>
      </c>
      <c r="F665" s="23"/>
      <c r="G665" s="1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9"/>
      <c r="B666" s="14" t="s">
        <v>1394</v>
      </c>
      <c r="C666" s="14" t="s">
        <v>1395</v>
      </c>
      <c r="D666" s="14"/>
      <c r="E666" s="14"/>
      <c r="F666" s="23"/>
      <c r="G666" s="1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9"/>
      <c r="B667" s="14" t="s">
        <v>1396</v>
      </c>
      <c r="C667" s="14" t="s">
        <v>1397</v>
      </c>
      <c r="D667" s="14" t="s">
        <v>1398</v>
      </c>
      <c r="E667" s="14">
        <v>10.0</v>
      </c>
      <c r="F667" s="23"/>
      <c r="G667" s="1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9"/>
      <c r="B668" s="14" t="s">
        <v>1399</v>
      </c>
      <c r="C668" s="14" t="s">
        <v>1400</v>
      </c>
      <c r="D668" s="28"/>
      <c r="E668" s="14">
        <v>5.0</v>
      </c>
      <c r="F668" s="23"/>
      <c r="G668" s="1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9"/>
      <c r="B669" s="14" t="s">
        <v>1401</v>
      </c>
      <c r="C669" s="14" t="s">
        <v>1402</v>
      </c>
      <c r="D669" s="28"/>
      <c r="E669" s="14">
        <v>9.0</v>
      </c>
      <c r="F669" s="23"/>
      <c r="G669" s="1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9"/>
      <c r="B670" s="14" t="s">
        <v>1403</v>
      </c>
      <c r="C670" s="14" t="s">
        <v>1404</v>
      </c>
      <c r="D670" s="28"/>
      <c r="E670" s="14">
        <v>5.0</v>
      </c>
      <c r="F670" s="23"/>
      <c r="G670" s="1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9"/>
      <c r="B671" s="14" t="s">
        <v>1405</v>
      </c>
      <c r="C671" s="14" t="s">
        <v>1406</v>
      </c>
      <c r="D671" s="28"/>
      <c r="E671" s="14">
        <v>1.0</v>
      </c>
      <c r="F671" s="23"/>
      <c r="G671" s="1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9"/>
      <c r="B672" s="14" t="s">
        <v>1407</v>
      </c>
      <c r="C672" s="14" t="s">
        <v>1408</v>
      </c>
      <c r="D672" s="28"/>
      <c r="E672" s="14">
        <v>14.0</v>
      </c>
      <c r="F672" s="23"/>
      <c r="G672" s="1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9"/>
      <c r="B673" s="14" t="s">
        <v>1409</v>
      </c>
      <c r="C673" s="14" t="s">
        <v>1410</v>
      </c>
      <c r="D673" s="28"/>
      <c r="E673" s="14">
        <v>2.0</v>
      </c>
      <c r="F673" s="23"/>
      <c r="G673" s="1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9"/>
      <c r="B674" s="14" t="s">
        <v>1411</v>
      </c>
      <c r="C674" s="14" t="s">
        <v>1412</v>
      </c>
      <c r="D674" s="28"/>
      <c r="E674" s="14">
        <v>0.0</v>
      </c>
      <c r="F674" s="23"/>
      <c r="G674" s="1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9"/>
      <c r="B675" s="14" t="s">
        <v>1413</v>
      </c>
      <c r="C675" s="14" t="s">
        <v>1414</v>
      </c>
      <c r="D675" s="28"/>
      <c r="E675" s="14">
        <v>5.0</v>
      </c>
      <c r="F675" s="23"/>
      <c r="G675" s="1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9"/>
      <c r="B676" s="14" t="s">
        <v>1415</v>
      </c>
      <c r="C676" s="14" t="s">
        <v>1416</v>
      </c>
      <c r="D676" s="28"/>
      <c r="E676" s="14">
        <v>10.0</v>
      </c>
      <c r="F676" s="23"/>
      <c r="G676" s="1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9"/>
      <c r="B677" s="14" t="s">
        <v>1417</v>
      </c>
      <c r="C677" s="14" t="s">
        <v>1418</v>
      </c>
      <c r="D677" s="28"/>
      <c r="E677" s="14">
        <v>3.0</v>
      </c>
      <c r="F677" s="23"/>
      <c r="G677" s="1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9"/>
      <c r="B678" s="14" t="s">
        <v>1419</v>
      </c>
      <c r="C678" s="14" t="s">
        <v>1420</v>
      </c>
      <c r="D678" s="28"/>
      <c r="E678" s="14">
        <v>6.0</v>
      </c>
      <c r="F678" s="23"/>
      <c r="G678" s="1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9"/>
      <c r="B679" s="14" t="s">
        <v>1421</v>
      </c>
      <c r="C679" s="14" t="s">
        <v>1422</v>
      </c>
      <c r="D679" s="28"/>
      <c r="E679" s="14">
        <v>6.0</v>
      </c>
      <c r="F679" s="23"/>
      <c r="G679" s="1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9"/>
      <c r="B680" s="14" t="s">
        <v>1423</v>
      </c>
      <c r="C680" s="14" t="s">
        <v>1424</v>
      </c>
      <c r="D680" s="28"/>
      <c r="E680" s="14">
        <v>6.0</v>
      </c>
      <c r="F680" s="23"/>
      <c r="G680" s="1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9"/>
      <c r="B681" s="14" t="s">
        <v>1425</v>
      </c>
      <c r="C681" s="14" t="s">
        <v>1426</v>
      </c>
      <c r="D681" s="28"/>
      <c r="E681" s="14">
        <v>12.0</v>
      </c>
      <c r="F681" s="23"/>
      <c r="G681" s="1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9"/>
      <c r="B682" s="14" t="s">
        <v>1427</v>
      </c>
      <c r="C682" s="14" t="s">
        <v>1428</v>
      </c>
      <c r="D682" s="28"/>
      <c r="E682" s="14">
        <v>5.0</v>
      </c>
      <c r="F682" s="23"/>
      <c r="G682" s="1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9"/>
      <c r="B683" s="14" t="s">
        <v>1429</v>
      </c>
      <c r="C683" s="14" t="s">
        <v>1430</v>
      </c>
      <c r="D683" s="28"/>
      <c r="E683" s="14">
        <v>2.0</v>
      </c>
      <c r="F683" s="23"/>
      <c r="G683" s="1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9"/>
      <c r="B684" s="14" t="s">
        <v>1431</v>
      </c>
      <c r="C684" s="14" t="s">
        <v>1432</v>
      </c>
      <c r="D684" s="28"/>
      <c r="E684" s="14">
        <v>6.0</v>
      </c>
      <c r="F684" s="23"/>
      <c r="G684" s="1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9"/>
      <c r="B685" s="14" t="s">
        <v>1433</v>
      </c>
      <c r="C685" s="14" t="s">
        <v>1434</v>
      </c>
      <c r="D685" s="28"/>
      <c r="E685" s="14">
        <v>10.0</v>
      </c>
      <c r="F685" s="23"/>
      <c r="G685" s="1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9"/>
      <c r="B686" s="14" t="s">
        <v>1435</v>
      </c>
      <c r="C686" s="14" t="s">
        <v>1436</v>
      </c>
      <c r="D686" s="28"/>
      <c r="E686" s="14">
        <v>6.0</v>
      </c>
      <c r="F686" s="23"/>
      <c r="G686" s="1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9"/>
      <c r="B687" s="14" t="s">
        <v>1437</v>
      </c>
      <c r="C687" s="14" t="s">
        <v>1438</v>
      </c>
      <c r="D687" s="28"/>
      <c r="E687" s="14">
        <v>7.0</v>
      </c>
      <c r="F687" s="23"/>
      <c r="G687" s="1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9"/>
      <c r="B688" s="14" t="s">
        <v>1439</v>
      </c>
      <c r="C688" s="14" t="s">
        <v>1440</v>
      </c>
      <c r="D688" s="28"/>
      <c r="E688" s="14">
        <v>20.0</v>
      </c>
      <c r="F688" s="23"/>
      <c r="G688" s="1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9"/>
      <c r="B689" s="14" t="s">
        <v>1441</v>
      </c>
      <c r="C689" s="14" t="s">
        <v>1442</v>
      </c>
      <c r="D689" s="28"/>
      <c r="E689" s="14">
        <v>4.0</v>
      </c>
      <c r="F689" s="23"/>
      <c r="G689" s="1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9"/>
      <c r="B690" s="14" t="s">
        <v>1443</v>
      </c>
      <c r="C690" s="14" t="s">
        <v>1444</v>
      </c>
      <c r="D690" s="28"/>
      <c r="E690" s="14">
        <v>5.0</v>
      </c>
      <c r="F690" s="23"/>
      <c r="G690" s="1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9"/>
      <c r="B691" s="14" t="s">
        <v>1445</v>
      </c>
      <c r="C691" s="14" t="s">
        <v>1446</v>
      </c>
      <c r="D691" s="14" t="s">
        <v>1447</v>
      </c>
      <c r="E691" s="14">
        <v>6.0</v>
      </c>
      <c r="F691" s="23"/>
      <c r="G691" s="1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9"/>
      <c r="B692" s="14" t="s">
        <v>1448</v>
      </c>
      <c r="C692" s="14" t="s">
        <v>1449</v>
      </c>
      <c r="D692" s="28"/>
      <c r="E692" s="14">
        <v>6.0</v>
      </c>
      <c r="F692" s="23"/>
      <c r="G692" s="1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9"/>
      <c r="B693" s="14" t="s">
        <v>1450</v>
      </c>
      <c r="C693" s="14" t="s">
        <v>1451</v>
      </c>
      <c r="D693" s="28"/>
      <c r="E693" s="14">
        <v>8.0</v>
      </c>
      <c r="F693" s="23"/>
      <c r="G693" s="1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9"/>
      <c r="B694" s="14" t="s">
        <v>1452</v>
      </c>
      <c r="C694" s="14" t="s">
        <v>1453</v>
      </c>
      <c r="D694" s="28"/>
      <c r="E694" s="14">
        <v>1.0</v>
      </c>
      <c r="F694" s="23"/>
      <c r="G694" s="1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9"/>
      <c r="B695" s="14" t="s">
        <v>1454</v>
      </c>
      <c r="C695" s="14" t="s">
        <v>1455</v>
      </c>
      <c r="D695" s="28"/>
      <c r="E695" s="14">
        <v>3.0</v>
      </c>
      <c r="F695" s="23"/>
      <c r="G695" s="1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9"/>
      <c r="B696" s="14" t="s">
        <v>1456</v>
      </c>
      <c r="C696" s="14" t="s">
        <v>1457</v>
      </c>
      <c r="D696" s="28"/>
      <c r="E696" s="14">
        <v>6.0</v>
      </c>
      <c r="F696" s="23"/>
      <c r="G696" s="1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9"/>
      <c r="B697" s="14" t="s">
        <v>1458</v>
      </c>
      <c r="C697" s="14" t="s">
        <v>1459</v>
      </c>
      <c r="D697" s="28"/>
      <c r="E697" s="14">
        <v>7.0</v>
      </c>
      <c r="F697" s="23"/>
      <c r="G697" s="1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9"/>
      <c r="B698" s="14" t="s">
        <v>1460</v>
      </c>
      <c r="C698" s="14" t="s">
        <v>1461</v>
      </c>
      <c r="D698" s="28"/>
      <c r="E698" s="14">
        <v>5.0</v>
      </c>
      <c r="F698" s="23"/>
      <c r="G698" s="1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9"/>
      <c r="B699" s="14" t="s">
        <v>1462</v>
      </c>
      <c r="C699" s="14" t="s">
        <v>1463</v>
      </c>
      <c r="D699" s="28"/>
      <c r="E699" s="14">
        <v>2.0</v>
      </c>
      <c r="F699" s="23"/>
      <c r="G699" s="1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9"/>
      <c r="B700" s="14" t="s">
        <v>1464</v>
      </c>
      <c r="C700" s="14" t="s">
        <v>1463</v>
      </c>
      <c r="D700" s="28"/>
      <c r="E700" s="14">
        <v>5.0</v>
      </c>
      <c r="F700" s="23"/>
      <c r="G700" s="1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9"/>
      <c r="B701" s="14" t="s">
        <v>1465</v>
      </c>
      <c r="C701" s="14" t="s">
        <v>1466</v>
      </c>
      <c r="D701" s="28"/>
      <c r="E701" s="14">
        <v>0.0</v>
      </c>
      <c r="F701" s="23"/>
      <c r="G701" s="1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9"/>
      <c r="B702" s="14" t="s">
        <v>1467</v>
      </c>
      <c r="C702" s="14" t="s">
        <v>1468</v>
      </c>
      <c r="D702" s="14" t="s">
        <v>118</v>
      </c>
      <c r="E702" s="14">
        <v>0.0</v>
      </c>
      <c r="F702" s="23"/>
      <c r="G702" s="1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9"/>
      <c r="B703" s="14" t="s">
        <v>1469</v>
      </c>
      <c r="C703" s="14" t="s">
        <v>1470</v>
      </c>
      <c r="D703" s="14" t="s">
        <v>1471</v>
      </c>
      <c r="E703" s="14">
        <v>1.0</v>
      </c>
      <c r="F703" s="23"/>
      <c r="G703" s="1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9"/>
      <c r="B704" s="14" t="s">
        <v>1472</v>
      </c>
      <c r="C704" s="14" t="s">
        <v>1473</v>
      </c>
      <c r="D704" s="28"/>
      <c r="E704" s="14">
        <v>6.0</v>
      </c>
      <c r="F704" s="23"/>
      <c r="G704" s="1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9"/>
      <c r="B705" s="14" t="s">
        <v>1474</v>
      </c>
      <c r="C705" s="14" t="s">
        <v>1475</v>
      </c>
      <c r="D705" s="28"/>
      <c r="E705" s="14">
        <v>7.0</v>
      </c>
      <c r="F705" s="23"/>
      <c r="G705" s="1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9"/>
      <c r="B706" s="14" t="s">
        <v>1476</v>
      </c>
      <c r="C706" s="14" t="s">
        <v>1477</v>
      </c>
      <c r="D706" s="28"/>
      <c r="E706" s="14">
        <v>3.0</v>
      </c>
      <c r="F706" s="23"/>
      <c r="G706" s="1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9"/>
      <c r="B707" s="14" t="s">
        <v>1478</v>
      </c>
      <c r="C707" s="14" t="s">
        <v>1479</v>
      </c>
      <c r="D707" s="28"/>
      <c r="E707" s="14">
        <v>16.0</v>
      </c>
      <c r="F707" s="23"/>
      <c r="G707" s="1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9"/>
      <c r="B708" s="14" t="s">
        <v>1480</v>
      </c>
      <c r="C708" s="14" t="s">
        <v>1481</v>
      </c>
      <c r="D708" s="28"/>
      <c r="E708" s="14">
        <v>6.0</v>
      </c>
      <c r="F708" s="23"/>
      <c r="G708" s="1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9"/>
      <c r="B709" s="14" t="s">
        <v>1482</v>
      </c>
      <c r="C709" s="14" t="s">
        <v>1483</v>
      </c>
      <c r="D709" s="28"/>
      <c r="E709" s="14">
        <v>9.0</v>
      </c>
      <c r="F709" s="23"/>
      <c r="G709" s="1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9"/>
      <c r="B710" s="14" t="s">
        <v>1484</v>
      </c>
      <c r="C710" s="14" t="s">
        <v>1485</v>
      </c>
      <c r="D710" s="28"/>
      <c r="E710" s="14">
        <v>6.0</v>
      </c>
      <c r="F710" s="23"/>
      <c r="G710" s="1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9"/>
      <c r="B711" s="14" t="s">
        <v>1486</v>
      </c>
      <c r="C711" s="14" t="s">
        <v>1487</v>
      </c>
      <c r="D711" s="28"/>
      <c r="E711" s="14">
        <v>5.0</v>
      </c>
      <c r="F711" s="23"/>
      <c r="G711" s="1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9"/>
      <c r="B712" s="14" t="s">
        <v>1488</v>
      </c>
      <c r="C712" s="14" t="s">
        <v>1489</v>
      </c>
      <c r="D712" s="14" t="s">
        <v>365</v>
      </c>
      <c r="E712" s="14">
        <v>6.0</v>
      </c>
      <c r="F712" s="23"/>
      <c r="G712" s="1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9"/>
      <c r="B713" s="14" t="s">
        <v>1490</v>
      </c>
      <c r="C713" s="14" t="s">
        <v>1491</v>
      </c>
      <c r="D713" s="14" t="s">
        <v>1471</v>
      </c>
      <c r="E713" s="14">
        <v>11.0</v>
      </c>
      <c r="F713" s="23"/>
      <c r="G713" s="1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9"/>
      <c r="B714" s="14" t="s">
        <v>1492</v>
      </c>
      <c r="C714" s="14" t="s">
        <v>1493</v>
      </c>
      <c r="D714" s="14" t="s">
        <v>1494</v>
      </c>
      <c r="E714" s="14">
        <v>3.0</v>
      </c>
      <c r="F714" s="23"/>
      <c r="G714" s="1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9"/>
      <c r="B715" s="14" t="s">
        <v>1495</v>
      </c>
      <c r="C715" s="14" t="s">
        <v>1496</v>
      </c>
      <c r="D715" s="14" t="s">
        <v>1471</v>
      </c>
      <c r="E715" s="14">
        <v>2.0</v>
      </c>
      <c r="F715" s="23"/>
      <c r="G715" s="1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9"/>
      <c r="B716" s="14" t="s">
        <v>1497</v>
      </c>
      <c r="C716" s="14" t="s">
        <v>1498</v>
      </c>
      <c r="D716" s="28"/>
      <c r="E716" s="14">
        <v>5.0</v>
      </c>
      <c r="F716" s="23"/>
      <c r="G716" s="1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9"/>
      <c r="B717" s="14" t="s">
        <v>1499</v>
      </c>
      <c r="C717" s="14" t="s">
        <v>1500</v>
      </c>
      <c r="D717" s="28"/>
      <c r="E717" s="14">
        <v>6.0</v>
      </c>
      <c r="F717" s="23"/>
      <c r="G717" s="1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9"/>
      <c r="B718" s="14" t="s">
        <v>1501</v>
      </c>
      <c r="C718" s="14" t="s">
        <v>1501</v>
      </c>
      <c r="D718" s="28"/>
      <c r="E718" s="14">
        <v>8.0</v>
      </c>
      <c r="F718" s="23"/>
      <c r="G718" s="1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9"/>
      <c r="B719" s="14" t="s">
        <v>1502</v>
      </c>
      <c r="C719" s="14" t="s">
        <v>1503</v>
      </c>
      <c r="D719" s="28"/>
      <c r="E719" s="14">
        <v>7.0</v>
      </c>
      <c r="F719" s="23"/>
      <c r="G719" s="1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9"/>
      <c r="B720" s="14" t="s">
        <v>1131</v>
      </c>
      <c r="C720" s="14" t="s">
        <v>1504</v>
      </c>
      <c r="D720" s="28"/>
      <c r="E720" s="14">
        <v>1.0</v>
      </c>
      <c r="F720" s="23"/>
      <c r="G720" s="1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9"/>
      <c r="B721" s="14" t="s">
        <v>1505</v>
      </c>
      <c r="C721" s="14" t="s">
        <v>1506</v>
      </c>
      <c r="D721" s="14" t="s">
        <v>1507</v>
      </c>
      <c r="E721" s="14">
        <v>6.0</v>
      </c>
      <c r="F721" s="23"/>
      <c r="G721" s="1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9"/>
      <c r="B722" s="14" t="s">
        <v>1508</v>
      </c>
      <c r="C722" s="14" t="s">
        <v>1508</v>
      </c>
      <c r="D722" s="28"/>
      <c r="E722" s="14">
        <v>7.0</v>
      </c>
      <c r="F722" s="23"/>
      <c r="G722" s="1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9"/>
      <c r="B723" s="14" t="s">
        <v>1509</v>
      </c>
      <c r="C723" s="14" t="s">
        <v>1510</v>
      </c>
      <c r="D723" s="28"/>
      <c r="E723" s="14">
        <v>9.0</v>
      </c>
      <c r="F723" s="23"/>
      <c r="G723" s="1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9"/>
      <c r="B724" s="14" t="s">
        <v>1511</v>
      </c>
      <c r="C724" s="14" t="s">
        <v>1512</v>
      </c>
      <c r="D724" s="28"/>
      <c r="E724" s="14">
        <v>6.0</v>
      </c>
      <c r="F724" s="23"/>
      <c r="G724" s="1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9"/>
      <c r="B725" s="14" t="s">
        <v>1513</v>
      </c>
      <c r="C725" s="14" t="s">
        <v>1514</v>
      </c>
      <c r="D725" s="28"/>
      <c r="E725" s="14">
        <v>6.0</v>
      </c>
      <c r="F725" s="23"/>
      <c r="G725" s="1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9"/>
      <c r="B726" s="14" t="s">
        <v>1515</v>
      </c>
      <c r="C726" s="14" t="s">
        <v>1516</v>
      </c>
      <c r="D726" s="28"/>
      <c r="E726" s="14">
        <v>2.0</v>
      </c>
      <c r="F726" s="23"/>
      <c r="G726" s="1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9"/>
      <c r="B727" s="14" t="s">
        <v>1517</v>
      </c>
      <c r="C727" s="14" t="s">
        <v>1518</v>
      </c>
      <c r="D727" s="28"/>
      <c r="E727" s="14">
        <v>6.0</v>
      </c>
      <c r="F727" s="23"/>
      <c r="G727" s="1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9"/>
      <c r="B728" s="14" t="s">
        <v>1519</v>
      </c>
      <c r="C728" s="14" t="s">
        <v>1520</v>
      </c>
      <c r="D728" s="28"/>
      <c r="E728" s="14">
        <v>5.0</v>
      </c>
      <c r="F728" s="23"/>
      <c r="G728" s="1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9"/>
      <c r="B729" s="14" t="s">
        <v>1521</v>
      </c>
      <c r="C729" s="14" t="s">
        <v>1522</v>
      </c>
      <c r="D729" s="28"/>
      <c r="E729" s="14">
        <v>6.0</v>
      </c>
      <c r="F729" s="23"/>
      <c r="G729" s="1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9"/>
      <c r="B730" s="14" t="s">
        <v>1523</v>
      </c>
      <c r="C730" s="14" t="s">
        <v>1524</v>
      </c>
      <c r="D730" s="14" t="s">
        <v>365</v>
      </c>
      <c r="E730" s="14">
        <v>6.0</v>
      </c>
      <c r="F730" s="23"/>
      <c r="G730" s="1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9"/>
      <c r="B731" s="14" t="s">
        <v>1525</v>
      </c>
      <c r="C731" s="14" t="s">
        <v>1526</v>
      </c>
      <c r="D731" s="28"/>
      <c r="E731" s="14">
        <v>6.0</v>
      </c>
      <c r="F731" s="23"/>
      <c r="G731" s="1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9"/>
      <c r="B732" s="14" t="s">
        <v>1527</v>
      </c>
      <c r="C732" s="14" t="s">
        <v>1528</v>
      </c>
      <c r="D732" s="28"/>
      <c r="E732" s="14">
        <v>5.0</v>
      </c>
      <c r="F732" s="23"/>
      <c r="G732" s="1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9"/>
      <c r="B733" s="28"/>
      <c r="C733" s="28"/>
      <c r="D733" s="28"/>
      <c r="E733" s="16"/>
      <c r="F733" s="23"/>
      <c r="G733" s="1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9"/>
      <c r="B734" s="14" t="s">
        <v>1529</v>
      </c>
      <c r="C734" s="14" t="s">
        <v>1530</v>
      </c>
      <c r="D734" s="14" t="s">
        <v>1531</v>
      </c>
      <c r="E734" s="14">
        <v>3.0</v>
      </c>
      <c r="F734" s="23"/>
      <c r="G734" s="1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9"/>
      <c r="B735" s="14" t="s">
        <v>1532</v>
      </c>
      <c r="C735" s="14" t="s">
        <v>1533</v>
      </c>
      <c r="D735" s="14" t="s">
        <v>1534</v>
      </c>
      <c r="E735" s="14">
        <v>7.0</v>
      </c>
      <c r="F735" s="23"/>
      <c r="G735" s="1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9"/>
      <c r="B736" s="14" t="s">
        <v>1535</v>
      </c>
      <c r="C736" s="28"/>
      <c r="D736" s="28"/>
      <c r="E736" s="14">
        <v>2.0</v>
      </c>
      <c r="F736" s="23"/>
      <c r="G736" s="1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9"/>
      <c r="B737" s="14" t="s">
        <v>1536</v>
      </c>
      <c r="C737" s="28"/>
      <c r="D737" s="28"/>
      <c r="E737" s="14">
        <v>1.0</v>
      </c>
      <c r="F737" s="23"/>
      <c r="G737" s="1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9"/>
      <c r="B738" s="14" t="s">
        <v>1537</v>
      </c>
      <c r="C738" s="14" t="s">
        <v>1538</v>
      </c>
      <c r="D738" s="14" t="s">
        <v>1539</v>
      </c>
      <c r="E738" s="14">
        <v>3.0</v>
      </c>
      <c r="F738" s="23"/>
      <c r="G738" s="1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9"/>
      <c r="B739" s="14" t="s">
        <v>1540</v>
      </c>
      <c r="C739" s="14" t="s">
        <v>1541</v>
      </c>
      <c r="D739" s="14" t="s">
        <v>1539</v>
      </c>
      <c r="E739" s="14">
        <v>1.0</v>
      </c>
      <c r="F739" s="23"/>
      <c r="G739" s="1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9"/>
      <c r="B740" s="14" t="s">
        <v>1542</v>
      </c>
      <c r="C740" s="14" t="s">
        <v>1543</v>
      </c>
      <c r="D740" s="14" t="s">
        <v>1539</v>
      </c>
      <c r="E740" s="14">
        <v>1.0</v>
      </c>
      <c r="F740" s="23"/>
      <c r="G740" s="1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9"/>
      <c r="B741" s="14" t="s">
        <v>1544</v>
      </c>
      <c r="C741" s="14" t="s">
        <v>1545</v>
      </c>
      <c r="D741" s="14" t="s">
        <v>1539</v>
      </c>
      <c r="E741" s="14">
        <v>2.0</v>
      </c>
      <c r="F741" s="23"/>
      <c r="G741" s="1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9"/>
      <c r="B742" s="14" t="s">
        <v>1546</v>
      </c>
      <c r="C742" s="14" t="s">
        <v>1547</v>
      </c>
      <c r="D742" s="14" t="s">
        <v>1539</v>
      </c>
      <c r="E742" s="14">
        <v>1.0</v>
      </c>
      <c r="F742" s="23"/>
      <c r="G742" s="1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9"/>
      <c r="B743" s="14" t="s">
        <v>1548</v>
      </c>
      <c r="C743" s="14" t="s">
        <v>1549</v>
      </c>
      <c r="D743" s="14" t="s">
        <v>1539</v>
      </c>
      <c r="E743" s="16"/>
      <c r="F743" s="23"/>
      <c r="G743" s="1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9"/>
      <c r="B744" s="14" t="s">
        <v>1550</v>
      </c>
      <c r="C744" s="14" t="s">
        <v>1547</v>
      </c>
      <c r="D744" s="14" t="s">
        <v>1539</v>
      </c>
      <c r="E744" s="14">
        <v>1.0</v>
      </c>
      <c r="F744" s="23"/>
      <c r="G744" s="1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9"/>
      <c r="B745" s="14" t="s">
        <v>1551</v>
      </c>
      <c r="C745" s="14" t="s">
        <v>1552</v>
      </c>
      <c r="D745" s="28"/>
      <c r="E745" s="14">
        <v>2.0</v>
      </c>
      <c r="F745" s="23"/>
      <c r="G745" s="1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9"/>
      <c r="B746" s="14" t="s">
        <v>1553</v>
      </c>
      <c r="C746" s="14" t="s">
        <v>1554</v>
      </c>
      <c r="D746" s="28"/>
      <c r="E746" s="14">
        <v>3.0</v>
      </c>
      <c r="F746" s="23"/>
      <c r="G746" s="1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9"/>
      <c r="B747" s="14" t="s">
        <v>1555</v>
      </c>
      <c r="C747" s="14" t="s">
        <v>1556</v>
      </c>
      <c r="D747" s="28"/>
      <c r="E747" s="14">
        <v>1.0</v>
      </c>
      <c r="F747" s="23"/>
      <c r="G747" s="1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9"/>
      <c r="B748" s="14" t="s">
        <v>1557</v>
      </c>
      <c r="C748" s="14" t="s">
        <v>1558</v>
      </c>
      <c r="D748" s="28"/>
      <c r="E748" s="14">
        <v>1.0</v>
      </c>
      <c r="F748" s="23"/>
      <c r="G748" s="1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9"/>
      <c r="B749" s="14" t="s">
        <v>1559</v>
      </c>
      <c r="C749" s="14" t="s">
        <v>1560</v>
      </c>
      <c r="D749" s="14" t="s">
        <v>1561</v>
      </c>
      <c r="E749" s="14">
        <v>3.0</v>
      </c>
      <c r="F749" s="23"/>
      <c r="G749" s="1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9"/>
      <c r="B750" s="14" t="s">
        <v>1562</v>
      </c>
      <c r="C750" s="14" t="s">
        <v>1563</v>
      </c>
      <c r="D750" s="14" t="s">
        <v>1561</v>
      </c>
      <c r="E750" s="14">
        <v>3.0</v>
      </c>
      <c r="F750" s="23"/>
      <c r="G750" s="1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9"/>
      <c r="B751" s="14" t="s">
        <v>1564</v>
      </c>
      <c r="C751" s="14" t="s">
        <v>1565</v>
      </c>
      <c r="D751" s="28"/>
      <c r="E751" s="14">
        <v>1.0</v>
      </c>
      <c r="F751" s="23"/>
      <c r="G751" s="1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9"/>
      <c r="B752" s="14" t="s">
        <v>1566</v>
      </c>
      <c r="C752" s="14" t="s">
        <v>1567</v>
      </c>
      <c r="D752" s="14" t="s">
        <v>1568</v>
      </c>
      <c r="E752" s="14">
        <v>2.0</v>
      </c>
      <c r="F752" s="23"/>
      <c r="G752" s="1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9"/>
      <c r="B753" s="14" t="s">
        <v>1569</v>
      </c>
      <c r="C753" s="14" t="s">
        <v>1570</v>
      </c>
      <c r="D753" s="28"/>
      <c r="E753" s="14">
        <v>1.0</v>
      </c>
      <c r="F753" s="23"/>
      <c r="G753" s="1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9"/>
      <c r="B754" s="14" t="s">
        <v>1571</v>
      </c>
      <c r="C754" s="14" t="s">
        <v>1572</v>
      </c>
      <c r="D754" s="14" t="s">
        <v>1573</v>
      </c>
      <c r="E754" s="14">
        <v>2.0</v>
      </c>
      <c r="F754" s="23"/>
      <c r="G754" s="1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9"/>
      <c r="B755" s="14" t="s">
        <v>1574</v>
      </c>
      <c r="C755" s="14" t="s">
        <v>1575</v>
      </c>
      <c r="D755" s="14" t="s">
        <v>1576</v>
      </c>
      <c r="E755" s="14">
        <v>1.0</v>
      </c>
      <c r="F755" s="23"/>
      <c r="G755" s="1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9"/>
      <c r="B756" s="14" t="s">
        <v>1577</v>
      </c>
      <c r="C756" s="14" t="s">
        <v>1578</v>
      </c>
      <c r="D756" s="14" t="s">
        <v>1576</v>
      </c>
      <c r="E756" s="14">
        <v>1.0</v>
      </c>
      <c r="F756" s="23"/>
      <c r="G756" s="1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9"/>
      <c r="B757" s="14" t="s">
        <v>1579</v>
      </c>
      <c r="C757" s="14" t="s">
        <v>1580</v>
      </c>
      <c r="D757" s="14" t="s">
        <v>1581</v>
      </c>
      <c r="E757" s="14">
        <v>2.0</v>
      </c>
      <c r="F757" s="23"/>
      <c r="G757" s="1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9"/>
      <c r="B758" s="14" t="s">
        <v>1582</v>
      </c>
      <c r="C758" s="14" t="s">
        <v>1583</v>
      </c>
      <c r="D758" s="14" t="s">
        <v>1581</v>
      </c>
      <c r="E758" s="14">
        <v>5.0</v>
      </c>
      <c r="F758" s="23"/>
      <c r="G758" s="1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9"/>
      <c r="B759" s="14" t="s">
        <v>1584</v>
      </c>
      <c r="C759" s="14" t="s">
        <v>1585</v>
      </c>
      <c r="D759" s="14" t="s">
        <v>1586</v>
      </c>
      <c r="E759" s="14">
        <v>7.0</v>
      </c>
      <c r="F759" s="23"/>
      <c r="G759" s="1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9"/>
      <c r="B760" s="14" t="s">
        <v>1587</v>
      </c>
      <c r="C760" s="14" t="s">
        <v>1588</v>
      </c>
      <c r="D760" s="14" t="s">
        <v>1589</v>
      </c>
      <c r="E760" s="14">
        <v>8.0</v>
      </c>
      <c r="F760" s="23"/>
      <c r="G760" s="1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9"/>
      <c r="B761" s="14" t="s">
        <v>1590</v>
      </c>
      <c r="C761" s="14" t="s">
        <v>1591</v>
      </c>
      <c r="D761" s="14" t="s">
        <v>1592</v>
      </c>
      <c r="E761" s="14">
        <v>3.0</v>
      </c>
      <c r="F761" s="23"/>
      <c r="G761" s="1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9"/>
      <c r="B762" s="14" t="s">
        <v>1593</v>
      </c>
      <c r="C762" s="14">
        <v>302020.0</v>
      </c>
      <c r="D762" s="14" t="s">
        <v>1594</v>
      </c>
      <c r="E762" s="14">
        <v>2.0</v>
      </c>
      <c r="F762" s="23"/>
      <c r="G762" s="1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9"/>
      <c r="B763" s="14" t="s">
        <v>1595</v>
      </c>
      <c r="C763" s="14">
        <v>302295.0</v>
      </c>
      <c r="D763" s="14" t="s">
        <v>1594</v>
      </c>
      <c r="E763" s="14"/>
      <c r="F763" s="23"/>
      <c r="G763" s="1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9"/>
      <c r="B764" s="14" t="s">
        <v>1596</v>
      </c>
      <c r="C764" s="14">
        <v>302132.0</v>
      </c>
      <c r="D764" s="14" t="s">
        <v>1594</v>
      </c>
      <c r="E764" s="14">
        <v>2.0</v>
      </c>
      <c r="F764" s="23"/>
      <c r="G764" s="1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9"/>
      <c r="B765" s="14" t="s">
        <v>1597</v>
      </c>
      <c r="C765" s="14" t="s">
        <v>1598</v>
      </c>
      <c r="D765" s="14" t="s">
        <v>1599</v>
      </c>
      <c r="E765" s="14">
        <v>0.0</v>
      </c>
      <c r="F765" s="23"/>
      <c r="G765" s="1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9"/>
      <c r="B766" s="14" t="s">
        <v>1600</v>
      </c>
      <c r="C766" s="14" t="s">
        <v>1601</v>
      </c>
      <c r="D766" s="28"/>
      <c r="E766" s="14">
        <v>0.0</v>
      </c>
      <c r="F766" s="23"/>
      <c r="G766" s="1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9"/>
      <c r="B767" s="14" t="s">
        <v>1602</v>
      </c>
      <c r="C767" s="14" t="s">
        <v>1603</v>
      </c>
      <c r="D767" s="28"/>
      <c r="E767" s="14">
        <v>4.0</v>
      </c>
      <c r="F767" s="23"/>
      <c r="G767" s="1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9"/>
      <c r="B768" s="14" t="s">
        <v>1604</v>
      </c>
      <c r="C768" s="14" t="s">
        <v>1605</v>
      </c>
      <c r="D768" s="28"/>
      <c r="E768" s="14">
        <v>1.0</v>
      </c>
      <c r="F768" s="23"/>
      <c r="G768" s="1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9"/>
      <c r="B769" s="14" t="s">
        <v>1606</v>
      </c>
      <c r="C769" s="28"/>
      <c r="D769" s="28"/>
      <c r="E769" s="14">
        <v>3.0</v>
      </c>
      <c r="F769" s="23"/>
      <c r="G769" s="1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9"/>
      <c r="B770" s="14" t="s">
        <v>1607</v>
      </c>
      <c r="C770" s="14" t="s">
        <v>1608</v>
      </c>
      <c r="D770" s="28"/>
      <c r="E770" s="14">
        <v>8.0</v>
      </c>
      <c r="F770" s="23"/>
      <c r="G770" s="1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9"/>
      <c r="B771" s="14" t="s">
        <v>1609</v>
      </c>
      <c r="C771" s="14" t="s">
        <v>1610</v>
      </c>
      <c r="D771" s="28"/>
      <c r="E771" s="14">
        <v>3.0</v>
      </c>
      <c r="F771" s="23"/>
      <c r="G771" s="1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9"/>
      <c r="B772" s="14" t="s">
        <v>1611</v>
      </c>
      <c r="C772" s="13" t="s">
        <v>1612</v>
      </c>
      <c r="D772" s="24"/>
      <c r="E772" s="13">
        <v>30.0</v>
      </c>
      <c r="F772" s="23"/>
      <c r="G772" s="1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9"/>
      <c r="B773" s="11" t="s">
        <v>1613</v>
      </c>
      <c r="C773" s="10" t="s">
        <v>1614</v>
      </c>
      <c r="D773" s="10" t="s">
        <v>1615</v>
      </c>
      <c r="E773" s="10">
        <v>20.0</v>
      </c>
      <c r="F773" s="23"/>
      <c r="G773" s="1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9"/>
      <c r="B774" s="11" t="s">
        <v>1616</v>
      </c>
      <c r="C774" s="10" t="s">
        <v>1617</v>
      </c>
      <c r="D774" s="10" t="s">
        <v>1618</v>
      </c>
      <c r="E774" s="10">
        <v>10.0</v>
      </c>
      <c r="F774" s="23"/>
      <c r="G774" s="1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9"/>
      <c r="B775" s="14" t="s">
        <v>1619</v>
      </c>
      <c r="C775" s="10" t="s">
        <v>1620</v>
      </c>
      <c r="D775" s="10" t="s">
        <v>1621</v>
      </c>
      <c r="E775" s="10">
        <v>2.0</v>
      </c>
      <c r="F775" s="23"/>
      <c r="G775" s="1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9"/>
      <c r="B776" s="11" t="s">
        <v>1622</v>
      </c>
      <c r="C776" s="10" t="s">
        <v>1623</v>
      </c>
      <c r="D776" s="10" t="s">
        <v>1624</v>
      </c>
      <c r="E776" s="10">
        <v>10.0</v>
      </c>
      <c r="F776" s="23"/>
      <c r="G776" s="1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9"/>
      <c r="B777" s="11" t="s">
        <v>1625</v>
      </c>
      <c r="C777" s="10" t="s">
        <v>1626</v>
      </c>
      <c r="D777" s="10" t="s">
        <v>1627</v>
      </c>
      <c r="E777" s="10">
        <v>40.0</v>
      </c>
      <c r="F777" s="23"/>
      <c r="G777" s="1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9"/>
      <c r="B778" s="11" t="s">
        <v>1628</v>
      </c>
      <c r="C778" s="10" t="s">
        <v>1629</v>
      </c>
      <c r="D778" s="10" t="s">
        <v>1630</v>
      </c>
      <c r="E778" s="10">
        <v>20.0</v>
      </c>
      <c r="F778" s="23"/>
      <c r="G778" s="1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9"/>
      <c r="B779" s="11" t="s">
        <v>1628</v>
      </c>
      <c r="C779" s="10" t="s">
        <v>1631</v>
      </c>
      <c r="D779" s="10" t="s">
        <v>1632</v>
      </c>
      <c r="E779" s="10">
        <v>20.0</v>
      </c>
      <c r="F779" s="23"/>
      <c r="G779" s="1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9"/>
      <c r="B780" s="11" t="s">
        <v>1633</v>
      </c>
      <c r="C780" s="10" t="s">
        <v>1634</v>
      </c>
      <c r="D780" s="10" t="s">
        <v>1635</v>
      </c>
      <c r="E780" s="10">
        <v>30.0</v>
      </c>
      <c r="F780" s="23"/>
      <c r="G780" s="1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9"/>
      <c r="B781" s="11" t="s">
        <v>1636</v>
      </c>
      <c r="C781" s="10" t="s">
        <v>1637</v>
      </c>
      <c r="D781" s="10" t="s">
        <v>1638</v>
      </c>
      <c r="E781" s="10">
        <v>30.0</v>
      </c>
      <c r="F781" s="23"/>
      <c r="G781" s="1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9"/>
      <c r="B782" s="11" t="s">
        <v>1639</v>
      </c>
      <c r="C782" s="10" t="s">
        <v>1640</v>
      </c>
      <c r="D782" s="10" t="s">
        <v>1641</v>
      </c>
      <c r="E782" s="10">
        <v>30.0</v>
      </c>
      <c r="F782" s="23"/>
      <c r="G782" s="1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9"/>
      <c r="B783" s="14" t="s">
        <v>1642</v>
      </c>
      <c r="C783" s="10" t="s">
        <v>1643</v>
      </c>
      <c r="D783" s="10" t="s">
        <v>1641</v>
      </c>
      <c r="E783" s="10">
        <v>0.0</v>
      </c>
      <c r="F783" s="23"/>
      <c r="G783" s="1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9"/>
      <c r="B784" s="14" t="s">
        <v>1644</v>
      </c>
      <c r="C784" s="10" t="s">
        <v>1645</v>
      </c>
      <c r="D784" s="10" t="s">
        <v>1646</v>
      </c>
      <c r="E784" s="10">
        <v>0.0</v>
      </c>
      <c r="F784" s="23"/>
      <c r="G784" s="1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9"/>
      <c r="B785" s="11" t="s">
        <v>1647</v>
      </c>
      <c r="C785" s="10" t="s">
        <v>1648</v>
      </c>
      <c r="D785" s="10" t="s">
        <v>1649</v>
      </c>
      <c r="E785" s="10">
        <v>30.0</v>
      </c>
      <c r="F785" s="23"/>
      <c r="G785" s="1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9"/>
      <c r="B786" s="11" t="s">
        <v>1650</v>
      </c>
      <c r="C786" s="10" t="s">
        <v>1651</v>
      </c>
      <c r="D786" s="10" t="s">
        <v>1652</v>
      </c>
      <c r="E786" s="10">
        <v>15.0</v>
      </c>
      <c r="F786" s="23"/>
      <c r="G786" s="1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9"/>
      <c r="B787" s="11" t="s">
        <v>1653</v>
      </c>
      <c r="C787" s="10" t="s">
        <v>1654</v>
      </c>
      <c r="D787" s="10" t="s">
        <v>1655</v>
      </c>
      <c r="E787" s="10">
        <v>20.0</v>
      </c>
      <c r="F787" s="23"/>
      <c r="G787" s="1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9"/>
      <c r="B788" s="14" t="s">
        <v>1656</v>
      </c>
      <c r="C788" s="14" t="s">
        <v>1657</v>
      </c>
      <c r="D788" s="10" t="s">
        <v>1658</v>
      </c>
      <c r="E788" s="10">
        <v>10.0</v>
      </c>
      <c r="F788" s="23"/>
      <c r="G788" s="1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9"/>
      <c r="B789" s="11" t="s">
        <v>1659</v>
      </c>
      <c r="C789" s="11" t="s">
        <v>1660</v>
      </c>
      <c r="D789" s="10" t="s">
        <v>1661</v>
      </c>
      <c r="E789" s="10">
        <v>10.0</v>
      </c>
      <c r="F789" s="23"/>
      <c r="G789" s="1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9"/>
      <c r="B790" s="11" t="s">
        <v>1662</v>
      </c>
      <c r="C790" s="11" t="s">
        <v>1663</v>
      </c>
      <c r="D790" s="10" t="s">
        <v>1664</v>
      </c>
      <c r="E790" s="10">
        <v>10.0</v>
      </c>
      <c r="F790" s="23"/>
      <c r="G790" s="1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9"/>
      <c r="B791" s="11" t="s">
        <v>1665</v>
      </c>
      <c r="C791" s="11" t="s">
        <v>1666</v>
      </c>
      <c r="D791" s="10" t="s">
        <v>1667</v>
      </c>
      <c r="E791" s="10">
        <v>10.0</v>
      </c>
      <c r="F791" s="23"/>
      <c r="G791" s="1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9"/>
      <c r="B792" s="11" t="s">
        <v>1668</v>
      </c>
      <c r="C792" s="11" t="s">
        <v>1669</v>
      </c>
      <c r="D792" s="10" t="s">
        <v>1670</v>
      </c>
      <c r="E792" s="10">
        <v>10.0</v>
      </c>
      <c r="F792" s="23"/>
      <c r="G792" s="1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9"/>
      <c r="B793" s="11" t="s">
        <v>1671</v>
      </c>
      <c r="C793" s="11" t="s">
        <v>1672</v>
      </c>
      <c r="D793" s="10" t="s">
        <v>1673</v>
      </c>
      <c r="E793" s="10">
        <v>10.0</v>
      </c>
      <c r="F793" s="23"/>
      <c r="G793" s="1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9"/>
      <c r="B794" s="14" t="s">
        <v>1674</v>
      </c>
      <c r="C794" s="11" t="s">
        <v>1675</v>
      </c>
      <c r="D794" s="10" t="s">
        <v>1676</v>
      </c>
      <c r="E794" s="10">
        <v>1.0</v>
      </c>
      <c r="F794" s="23"/>
      <c r="G794" s="1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9"/>
      <c r="B795" s="14" t="s">
        <v>1677</v>
      </c>
      <c r="C795" s="11" t="s">
        <v>1678</v>
      </c>
      <c r="D795" s="10" t="s">
        <v>1679</v>
      </c>
      <c r="E795" s="10">
        <v>2.0</v>
      </c>
      <c r="F795" s="23"/>
      <c r="G795" s="1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9"/>
      <c r="B796" s="11" t="s">
        <v>1680</v>
      </c>
      <c r="C796" s="10" t="s">
        <v>1681</v>
      </c>
      <c r="D796" s="10" t="s">
        <v>1682</v>
      </c>
      <c r="E796" s="10">
        <v>5.0</v>
      </c>
      <c r="F796" s="23"/>
      <c r="G796" s="1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9"/>
      <c r="B797" s="11" t="s">
        <v>1683</v>
      </c>
      <c r="C797" s="10" t="s">
        <v>1684</v>
      </c>
      <c r="D797" s="10" t="s">
        <v>1685</v>
      </c>
      <c r="E797" s="10">
        <v>20.0</v>
      </c>
      <c r="F797" s="23"/>
      <c r="G797" s="1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9"/>
      <c r="B798" s="11" t="s">
        <v>1686</v>
      </c>
      <c r="C798" s="10" t="s">
        <v>1687</v>
      </c>
      <c r="D798" s="10" t="s">
        <v>1688</v>
      </c>
      <c r="E798" s="10">
        <v>8.0</v>
      </c>
      <c r="F798" s="23"/>
      <c r="G798" s="1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9"/>
      <c r="B799" s="14" t="s">
        <v>1689</v>
      </c>
      <c r="C799" s="13" t="s">
        <v>1690</v>
      </c>
      <c r="D799" s="13" t="s">
        <v>1691</v>
      </c>
      <c r="E799" s="13">
        <v>8.0</v>
      </c>
      <c r="F799" s="23"/>
      <c r="G799" s="1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9"/>
      <c r="B800" s="14" t="s">
        <v>1692</v>
      </c>
      <c r="C800" s="10" t="s">
        <v>1693</v>
      </c>
      <c r="D800" s="10" t="s">
        <v>1694</v>
      </c>
      <c r="E800" s="10">
        <v>1.0</v>
      </c>
      <c r="F800" s="23"/>
      <c r="G800" s="1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9"/>
      <c r="B801" s="14" t="s">
        <v>1695</v>
      </c>
      <c r="C801" s="10" t="s">
        <v>1696</v>
      </c>
      <c r="D801" s="10" t="s">
        <v>1697</v>
      </c>
      <c r="E801" s="10">
        <v>0.0</v>
      </c>
      <c r="F801" s="23"/>
      <c r="G801" s="1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9"/>
      <c r="B802" s="14" t="s">
        <v>1698</v>
      </c>
      <c r="C802" s="10" t="s">
        <v>1699</v>
      </c>
      <c r="D802" s="10" t="s">
        <v>1700</v>
      </c>
      <c r="E802" s="10">
        <v>1.0</v>
      </c>
      <c r="F802" s="23"/>
      <c r="G802" s="1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9"/>
      <c r="B803" s="14" t="s">
        <v>1701</v>
      </c>
      <c r="C803" s="10" t="s">
        <v>1702</v>
      </c>
      <c r="D803" s="10" t="s">
        <v>1703</v>
      </c>
      <c r="E803" s="10">
        <v>2.0</v>
      </c>
      <c r="F803" s="23"/>
      <c r="G803" s="1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9"/>
      <c r="B804" s="14" t="s">
        <v>1704</v>
      </c>
      <c r="C804" s="10" t="s">
        <v>1705</v>
      </c>
      <c r="D804" s="10" t="s">
        <v>1706</v>
      </c>
      <c r="E804" s="10">
        <v>0.0</v>
      </c>
      <c r="F804" s="23"/>
      <c r="G804" s="1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9"/>
      <c r="B805" s="14" t="s">
        <v>1707</v>
      </c>
      <c r="C805" s="10" t="s">
        <v>1708</v>
      </c>
      <c r="D805" s="10" t="s">
        <v>1709</v>
      </c>
      <c r="E805" s="10">
        <v>16.0</v>
      </c>
      <c r="F805" s="23"/>
      <c r="G805" s="1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9"/>
      <c r="B806" s="14" t="s">
        <v>1710</v>
      </c>
      <c r="C806" s="10" t="s">
        <v>1711</v>
      </c>
      <c r="D806" s="10" t="s">
        <v>43</v>
      </c>
      <c r="E806" s="10">
        <v>0.0</v>
      </c>
      <c r="F806" s="23"/>
      <c r="G806" s="1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9"/>
      <c r="B807" s="34" t="s">
        <v>1712</v>
      </c>
      <c r="C807" s="35" t="s">
        <v>1713</v>
      </c>
      <c r="D807" s="35" t="s">
        <v>1714</v>
      </c>
      <c r="E807" s="35">
        <v>2.0</v>
      </c>
      <c r="F807" s="23"/>
      <c r="G807" s="1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9"/>
      <c r="B808" s="34" t="s">
        <v>1715</v>
      </c>
      <c r="C808" s="35" t="s">
        <v>1716</v>
      </c>
      <c r="D808" s="35" t="s">
        <v>1717</v>
      </c>
      <c r="E808" s="35">
        <v>1.0</v>
      </c>
      <c r="F808" s="23"/>
      <c r="G808" s="1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9"/>
      <c r="B809" s="34" t="s">
        <v>1715</v>
      </c>
      <c r="C809" s="35" t="s">
        <v>1718</v>
      </c>
      <c r="D809" s="35" t="s">
        <v>1719</v>
      </c>
      <c r="E809" s="35">
        <v>2.0</v>
      </c>
      <c r="F809" s="23"/>
      <c r="G809" s="1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9"/>
      <c r="B810" s="34" t="s">
        <v>1720</v>
      </c>
      <c r="C810" s="35" t="s">
        <v>1721</v>
      </c>
      <c r="D810" s="35" t="s">
        <v>1717</v>
      </c>
      <c r="E810" s="35">
        <v>1.0</v>
      </c>
      <c r="F810" s="23"/>
      <c r="G810" s="1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9"/>
      <c r="B811" s="34" t="s">
        <v>1720</v>
      </c>
      <c r="C811" s="35" t="s">
        <v>1722</v>
      </c>
      <c r="D811" s="35" t="s">
        <v>1719</v>
      </c>
      <c r="E811" s="35">
        <v>2.0</v>
      </c>
      <c r="F811" s="23"/>
      <c r="G811" s="1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9"/>
      <c r="B812" s="34" t="s">
        <v>1723</v>
      </c>
      <c r="C812" s="35" t="s">
        <v>1724</v>
      </c>
      <c r="D812" s="35" t="s">
        <v>1725</v>
      </c>
      <c r="E812" s="35">
        <v>3.0</v>
      </c>
      <c r="F812" s="23"/>
      <c r="G812" s="1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9"/>
      <c r="B813" s="34" t="s">
        <v>1726</v>
      </c>
      <c r="C813" s="35" t="s">
        <v>1727</v>
      </c>
      <c r="D813" s="35" t="s">
        <v>1725</v>
      </c>
      <c r="E813" s="35">
        <v>1.0</v>
      </c>
      <c r="F813" s="23"/>
      <c r="G813" s="1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9"/>
      <c r="B814" s="34" t="s">
        <v>1728</v>
      </c>
      <c r="C814" s="35" t="s">
        <v>1729</v>
      </c>
      <c r="D814" s="35" t="s">
        <v>1725</v>
      </c>
      <c r="E814" s="35">
        <v>1.0</v>
      </c>
      <c r="F814" s="23"/>
      <c r="G814" s="1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9"/>
      <c r="B815" s="34" t="s">
        <v>1730</v>
      </c>
      <c r="C815" s="35" t="s">
        <v>1731</v>
      </c>
      <c r="D815" s="35" t="s">
        <v>1725</v>
      </c>
      <c r="E815" s="35">
        <v>2.0</v>
      </c>
      <c r="F815" s="23"/>
      <c r="G815" s="1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9"/>
      <c r="B816" s="34" t="s">
        <v>1732</v>
      </c>
      <c r="C816" s="35" t="s">
        <v>1733</v>
      </c>
      <c r="D816" s="35" t="s">
        <v>523</v>
      </c>
      <c r="E816" s="35">
        <v>1.0</v>
      </c>
      <c r="F816" s="23"/>
      <c r="G816" s="1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9"/>
      <c r="B817" s="34" t="s">
        <v>1734</v>
      </c>
      <c r="C817" s="35" t="s">
        <v>1735</v>
      </c>
      <c r="D817" s="35" t="s">
        <v>1725</v>
      </c>
      <c r="E817" s="35">
        <v>5.0</v>
      </c>
      <c r="F817" s="23"/>
      <c r="G817" s="1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9"/>
      <c r="B818" s="34" t="s">
        <v>1170</v>
      </c>
      <c r="C818" s="35" t="s">
        <v>1736</v>
      </c>
      <c r="D818" s="35" t="s">
        <v>1725</v>
      </c>
      <c r="E818" s="35">
        <v>1.0</v>
      </c>
      <c r="F818" s="23"/>
      <c r="G818" s="1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9"/>
      <c r="B819" s="34" t="s">
        <v>1737</v>
      </c>
      <c r="C819" s="35" t="s">
        <v>1738</v>
      </c>
      <c r="D819" s="35" t="s">
        <v>1264</v>
      </c>
      <c r="E819" s="35">
        <v>4.0</v>
      </c>
      <c r="F819" s="23"/>
      <c r="G819" s="1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9"/>
      <c r="B820" s="34" t="s">
        <v>1739</v>
      </c>
      <c r="C820" s="35" t="s">
        <v>1740</v>
      </c>
      <c r="D820" s="35" t="s">
        <v>523</v>
      </c>
      <c r="E820" s="35">
        <v>1.0</v>
      </c>
      <c r="F820" s="23"/>
      <c r="G820" s="1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9"/>
      <c r="B821" s="34" t="s">
        <v>1741</v>
      </c>
      <c r="C821" s="35" t="s">
        <v>1742</v>
      </c>
      <c r="D821" s="35" t="s">
        <v>523</v>
      </c>
      <c r="E821" s="35">
        <v>1.0</v>
      </c>
      <c r="F821" s="23"/>
      <c r="G821" s="1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9"/>
      <c r="B822" s="34" t="s">
        <v>1743</v>
      </c>
      <c r="C822" s="35" t="s">
        <v>1744</v>
      </c>
      <c r="D822" s="35" t="s">
        <v>1725</v>
      </c>
      <c r="E822" s="35">
        <v>7.0</v>
      </c>
      <c r="F822" s="23"/>
      <c r="G822" s="1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9"/>
      <c r="B823" s="34" t="s">
        <v>1745</v>
      </c>
      <c r="C823" s="35" t="s">
        <v>1746</v>
      </c>
      <c r="D823" s="35" t="s">
        <v>1725</v>
      </c>
      <c r="E823" s="35">
        <v>1.0</v>
      </c>
      <c r="F823" s="23"/>
      <c r="G823" s="1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9"/>
      <c r="B824" s="34" t="s">
        <v>1747</v>
      </c>
      <c r="C824" s="35" t="s">
        <v>1748</v>
      </c>
      <c r="D824" s="35" t="s">
        <v>1725</v>
      </c>
      <c r="E824" s="36">
        <v>45786.0</v>
      </c>
      <c r="F824" s="23"/>
      <c r="G824" s="1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9"/>
      <c r="B825" s="34" t="s">
        <v>1749</v>
      </c>
      <c r="C825" s="35" t="s">
        <v>1750</v>
      </c>
      <c r="D825" s="35" t="s">
        <v>1751</v>
      </c>
      <c r="E825" s="35">
        <v>1.0</v>
      </c>
      <c r="F825" s="23"/>
      <c r="G825" s="1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9"/>
      <c r="B826" s="34" t="s">
        <v>1752</v>
      </c>
      <c r="C826" s="35" t="s">
        <v>1753</v>
      </c>
      <c r="D826" s="35" t="s">
        <v>1754</v>
      </c>
      <c r="E826" s="35">
        <v>1.0</v>
      </c>
      <c r="F826" s="23"/>
      <c r="G826" s="1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9"/>
      <c r="B827" s="34" t="s">
        <v>1755</v>
      </c>
      <c r="C827" s="35" t="s">
        <v>1756</v>
      </c>
      <c r="D827" s="22"/>
      <c r="E827" s="35">
        <v>1.0</v>
      </c>
      <c r="F827" s="23"/>
      <c r="G827" s="1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9"/>
      <c r="B828" s="34" t="s">
        <v>1757</v>
      </c>
      <c r="C828" s="35" t="s">
        <v>1758</v>
      </c>
      <c r="D828" s="35" t="s">
        <v>1759</v>
      </c>
      <c r="E828" s="35">
        <v>4.0</v>
      </c>
      <c r="F828" s="23"/>
      <c r="G828" s="1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9"/>
      <c r="B829" s="34" t="s">
        <v>1757</v>
      </c>
      <c r="C829" s="35" t="s">
        <v>1760</v>
      </c>
      <c r="D829" s="35" t="s">
        <v>1759</v>
      </c>
      <c r="E829" s="35">
        <v>3.0</v>
      </c>
      <c r="F829" s="23"/>
      <c r="G829" s="1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9"/>
      <c r="B830" s="34" t="s">
        <v>1757</v>
      </c>
      <c r="C830" s="35" t="s">
        <v>1761</v>
      </c>
      <c r="D830" s="35" t="s">
        <v>1762</v>
      </c>
      <c r="E830" s="35">
        <v>4.0</v>
      </c>
      <c r="F830" s="23"/>
      <c r="G830" s="1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9"/>
      <c r="B831" s="34" t="s">
        <v>1757</v>
      </c>
      <c r="C831" s="35" t="s">
        <v>1763</v>
      </c>
      <c r="D831" s="35" t="s">
        <v>1762</v>
      </c>
      <c r="E831" s="35">
        <v>4.0</v>
      </c>
      <c r="F831" s="23"/>
      <c r="G831" s="1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9"/>
      <c r="B832" s="34" t="s">
        <v>1757</v>
      </c>
      <c r="C832" s="35" t="s">
        <v>1764</v>
      </c>
      <c r="D832" s="35" t="s">
        <v>1762</v>
      </c>
      <c r="E832" s="35">
        <v>2.0</v>
      </c>
      <c r="F832" s="23"/>
      <c r="G832" s="1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9"/>
      <c r="B833" s="34" t="s">
        <v>1757</v>
      </c>
      <c r="C833" s="35" t="s">
        <v>1765</v>
      </c>
      <c r="D833" s="35" t="s">
        <v>1766</v>
      </c>
      <c r="E833" s="35">
        <v>5.0</v>
      </c>
      <c r="F833" s="23"/>
      <c r="G833" s="1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9"/>
      <c r="B834" s="34" t="s">
        <v>1757</v>
      </c>
      <c r="C834" s="35" t="s">
        <v>1767</v>
      </c>
      <c r="D834" s="35" t="s">
        <v>1766</v>
      </c>
      <c r="E834" s="35">
        <v>5.0</v>
      </c>
      <c r="F834" s="23"/>
      <c r="G834" s="1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9"/>
      <c r="B835" s="34" t="s">
        <v>1757</v>
      </c>
      <c r="C835" s="35" t="s">
        <v>1768</v>
      </c>
      <c r="D835" s="35" t="s">
        <v>1769</v>
      </c>
      <c r="E835" s="35">
        <v>5.0</v>
      </c>
      <c r="F835" s="23"/>
      <c r="G835" s="1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9"/>
      <c r="B836" s="34" t="s">
        <v>1757</v>
      </c>
      <c r="C836" s="35" t="s">
        <v>1770</v>
      </c>
      <c r="D836" s="35" t="s">
        <v>1771</v>
      </c>
      <c r="E836" s="35">
        <v>8.0</v>
      </c>
      <c r="F836" s="23"/>
      <c r="G836" s="1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9"/>
      <c r="B837" s="34" t="s">
        <v>1757</v>
      </c>
      <c r="C837" s="35" t="s">
        <v>1772</v>
      </c>
      <c r="D837" s="35" t="s">
        <v>1759</v>
      </c>
      <c r="E837" s="35">
        <v>23.0</v>
      </c>
      <c r="F837" s="23"/>
      <c r="G837" s="1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9"/>
      <c r="B838" s="34" t="s">
        <v>1773</v>
      </c>
      <c r="C838" s="35" t="s">
        <v>1774</v>
      </c>
      <c r="D838" s="35" t="s">
        <v>1759</v>
      </c>
      <c r="E838" s="35">
        <v>9.0</v>
      </c>
      <c r="F838" s="23"/>
      <c r="G838" s="1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9"/>
      <c r="B839" s="34" t="s">
        <v>1775</v>
      </c>
      <c r="C839" s="35" t="s">
        <v>1776</v>
      </c>
      <c r="D839" s="35" t="s">
        <v>1777</v>
      </c>
      <c r="E839" s="35">
        <v>6.0</v>
      </c>
      <c r="F839" s="23"/>
      <c r="G839" s="1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9"/>
      <c r="B840" s="34" t="s">
        <v>1778</v>
      </c>
      <c r="C840" s="35" t="s">
        <v>1779</v>
      </c>
      <c r="D840" s="35" t="s">
        <v>1759</v>
      </c>
      <c r="E840" s="35">
        <v>7.0</v>
      </c>
      <c r="F840" s="23"/>
      <c r="G840" s="1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9"/>
      <c r="B841" s="34" t="s">
        <v>1778</v>
      </c>
      <c r="C841" s="35" t="s">
        <v>1780</v>
      </c>
      <c r="D841" s="35" t="s">
        <v>1759</v>
      </c>
      <c r="E841" s="35">
        <v>10.0</v>
      </c>
      <c r="F841" s="23"/>
      <c r="G841" s="1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9"/>
      <c r="B842" s="34" t="s">
        <v>1781</v>
      </c>
      <c r="C842" s="35" t="s">
        <v>1782</v>
      </c>
      <c r="D842" s="35" t="s">
        <v>1783</v>
      </c>
      <c r="E842" s="35">
        <v>200.0</v>
      </c>
      <c r="F842" s="23"/>
      <c r="G842" s="1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9"/>
      <c r="B843" s="34" t="s">
        <v>1784</v>
      </c>
      <c r="C843" s="35" t="s">
        <v>1785</v>
      </c>
      <c r="D843" s="35" t="s">
        <v>1786</v>
      </c>
      <c r="E843" s="35">
        <v>4.0</v>
      </c>
      <c r="F843" s="23"/>
      <c r="G843" s="1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9"/>
      <c r="B844" s="34" t="s">
        <v>1787</v>
      </c>
      <c r="C844" s="35" t="s">
        <v>1788</v>
      </c>
      <c r="D844" s="35" t="s">
        <v>1789</v>
      </c>
      <c r="E844" s="35">
        <v>106.0</v>
      </c>
      <c r="F844" s="23"/>
      <c r="G844" s="1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9"/>
      <c r="B845" s="34" t="s">
        <v>1790</v>
      </c>
      <c r="C845" s="35" t="s">
        <v>1791</v>
      </c>
      <c r="D845" s="35" t="s">
        <v>1792</v>
      </c>
      <c r="E845" s="35">
        <v>2.0</v>
      </c>
      <c r="F845" s="23"/>
      <c r="G845" s="1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9"/>
      <c r="B846" s="34" t="s">
        <v>1793</v>
      </c>
      <c r="C846" s="35" t="s">
        <v>1794</v>
      </c>
      <c r="D846" s="35" t="s">
        <v>1795</v>
      </c>
      <c r="E846" s="35">
        <v>0.0</v>
      </c>
      <c r="F846" s="23"/>
      <c r="G846" s="1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9"/>
      <c r="B847" s="34" t="s">
        <v>1796</v>
      </c>
      <c r="C847" s="35" t="s">
        <v>1797</v>
      </c>
      <c r="D847" s="35" t="s">
        <v>1798</v>
      </c>
      <c r="E847" s="35">
        <v>1.0</v>
      </c>
      <c r="F847" s="23"/>
      <c r="G847" s="1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9"/>
      <c r="B848" s="34" t="s">
        <v>1796</v>
      </c>
      <c r="C848" s="35" t="s">
        <v>1799</v>
      </c>
      <c r="D848" s="35" t="s">
        <v>1800</v>
      </c>
      <c r="E848" s="35">
        <v>1.0</v>
      </c>
      <c r="F848" s="23"/>
      <c r="G848" s="1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9"/>
      <c r="B849" s="34" t="s">
        <v>1801</v>
      </c>
      <c r="C849" s="35" t="s">
        <v>1802</v>
      </c>
      <c r="D849" s="35" t="s">
        <v>1803</v>
      </c>
      <c r="E849" s="35">
        <v>1.0</v>
      </c>
      <c r="F849" s="23"/>
      <c r="G849" s="1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9"/>
      <c r="B850" s="34" t="s">
        <v>1801</v>
      </c>
      <c r="C850" s="35" t="s">
        <v>1804</v>
      </c>
      <c r="D850" s="35" t="s">
        <v>1803</v>
      </c>
      <c r="E850" s="35">
        <v>1.0</v>
      </c>
      <c r="F850" s="23"/>
      <c r="G850" s="1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9"/>
      <c r="B851" s="34" t="s">
        <v>1805</v>
      </c>
      <c r="C851" s="35" t="s">
        <v>1806</v>
      </c>
      <c r="D851" s="35" t="s">
        <v>1807</v>
      </c>
      <c r="E851" s="35">
        <v>8.0</v>
      </c>
      <c r="F851" s="23"/>
      <c r="G851" s="1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9"/>
      <c r="B852" s="34" t="s">
        <v>1808</v>
      </c>
      <c r="C852" s="35" t="s">
        <v>1809</v>
      </c>
      <c r="D852" s="35" t="s">
        <v>1810</v>
      </c>
      <c r="E852" s="35">
        <v>3.0</v>
      </c>
      <c r="F852" s="23"/>
      <c r="G852" s="1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9"/>
      <c r="B853" s="34" t="s">
        <v>1808</v>
      </c>
      <c r="C853" s="35" t="s">
        <v>1811</v>
      </c>
      <c r="D853" s="35" t="s">
        <v>1810</v>
      </c>
      <c r="E853" s="35">
        <v>1.0</v>
      </c>
      <c r="F853" s="23"/>
      <c r="G853" s="1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9"/>
      <c r="B854" s="34" t="s">
        <v>1808</v>
      </c>
      <c r="C854" s="35" t="s">
        <v>1812</v>
      </c>
      <c r="D854" s="35" t="s">
        <v>1810</v>
      </c>
      <c r="E854" s="35">
        <v>1.0</v>
      </c>
      <c r="F854" s="23"/>
      <c r="G854" s="1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9"/>
      <c r="B855" s="34" t="s">
        <v>1808</v>
      </c>
      <c r="C855" s="35" t="s">
        <v>1813</v>
      </c>
      <c r="D855" s="35" t="s">
        <v>1810</v>
      </c>
      <c r="E855" s="35">
        <v>1.0</v>
      </c>
      <c r="F855" s="23"/>
      <c r="G855" s="1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9"/>
      <c r="B856" s="34" t="s">
        <v>1808</v>
      </c>
      <c r="C856" s="35" t="s">
        <v>1814</v>
      </c>
      <c r="D856" s="35" t="s">
        <v>1810</v>
      </c>
      <c r="E856" s="35">
        <v>1.0</v>
      </c>
      <c r="F856" s="23"/>
      <c r="G856" s="1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9"/>
      <c r="B857" s="34" t="s">
        <v>1808</v>
      </c>
      <c r="C857" s="35" t="s">
        <v>1815</v>
      </c>
      <c r="D857" s="35" t="s">
        <v>1810</v>
      </c>
      <c r="E857" s="35">
        <v>1.0</v>
      </c>
      <c r="F857" s="23"/>
      <c r="G857" s="1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9"/>
      <c r="B858" s="34" t="s">
        <v>1808</v>
      </c>
      <c r="C858" s="35" t="s">
        <v>1816</v>
      </c>
      <c r="D858" s="35" t="s">
        <v>1810</v>
      </c>
      <c r="E858" s="35">
        <v>13.0</v>
      </c>
      <c r="F858" s="23"/>
      <c r="G858" s="1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9"/>
      <c r="B859" s="34" t="s">
        <v>1808</v>
      </c>
      <c r="C859" s="35" t="s">
        <v>1817</v>
      </c>
      <c r="D859" s="35" t="s">
        <v>1810</v>
      </c>
      <c r="E859" s="35">
        <v>1.0</v>
      </c>
      <c r="F859" s="23"/>
      <c r="G859" s="1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9"/>
      <c r="B860" s="34" t="s">
        <v>1818</v>
      </c>
      <c r="C860" s="35" t="s">
        <v>1819</v>
      </c>
      <c r="D860" s="35" t="s">
        <v>1820</v>
      </c>
      <c r="E860" s="35">
        <v>2.0</v>
      </c>
      <c r="F860" s="23"/>
      <c r="G860" s="1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9"/>
      <c r="B861" s="34" t="s">
        <v>1818</v>
      </c>
      <c r="C861" s="35" t="s">
        <v>1821</v>
      </c>
      <c r="D861" s="35" t="s">
        <v>1820</v>
      </c>
      <c r="E861" s="35">
        <v>1.0</v>
      </c>
      <c r="F861" s="23"/>
      <c r="G861" s="1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9"/>
      <c r="B862" s="34" t="s">
        <v>1818</v>
      </c>
      <c r="C862" s="35" t="s">
        <v>1822</v>
      </c>
      <c r="D862" s="35" t="s">
        <v>1820</v>
      </c>
      <c r="E862" s="35">
        <v>1.0</v>
      </c>
      <c r="F862" s="23"/>
      <c r="G862" s="1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9"/>
      <c r="B863" s="34" t="s">
        <v>1823</v>
      </c>
      <c r="C863" s="35" t="s">
        <v>1824</v>
      </c>
      <c r="D863" s="35" t="s">
        <v>1820</v>
      </c>
      <c r="E863" s="35">
        <v>2.0</v>
      </c>
      <c r="F863" s="23"/>
      <c r="G863" s="1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9"/>
      <c r="B864" s="34" t="s">
        <v>1825</v>
      </c>
      <c r="C864" s="35" t="s">
        <v>1826</v>
      </c>
      <c r="D864" s="35" t="s">
        <v>247</v>
      </c>
      <c r="E864" s="35">
        <v>12.0</v>
      </c>
      <c r="F864" s="23"/>
      <c r="G864" s="1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9"/>
      <c r="B865" s="34" t="s">
        <v>1827</v>
      </c>
      <c r="C865" s="35" t="s">
        <v>1828</v>
      </c>
      <c r="D865" s="35" t="s">
        <v>1829</v>
      </c>
      <c r="E865" s="35">
        <v>9.0</v>
      </c>
      <c r="F865" s="23"/>
      <c r="G865" s="1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9"/>
      <c r="B866" s="34" t="s">
        <v>1830</v>
      </c>
      <c r="C866" s="35" t="s">
        <v>1831</v>
      </c>
      <c r="D866" s="35" t="s">
        <v>1820</v>
      </c>
      <c r="E866" s="35">
        <v>1.0</v>
      </c>
      <c r="F866" s="23"/>
      <c r="G866" s="1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9"/>
      <c r="B867" s="34" t="s">
        <v>1832</v>
      </c>
      <c r="C867" s="35" t="s">
        <v>1833</v>
      </c>
      <c r="D867" s="35" t="s">
        <v>1834</v>
      </c>
      <c r="E867" s="35">
        <v>2.0</v>
      </c>
      <c r="F867" s="23"/>
      <c r="G867" s="1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9"/>
      <c r="B868" s="34" t="s">
        <v>1832</v>
      </c>
      <c r="C868" s="35" t="s">
        <v>1835</v>
      </c>
      <c r="D868" s="35" t="s">
        <v>1834</v>
      </c>
      <c r="E868" s="35">
        <v>1.0</v>
      </c>
      <c r="F868" s="23"/>
      <c r="G868" s="1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9"/>
      <c r="B869" s="34" t="s">
        <v>1832</v>
      </c>
      <c r="C869" s="35" t="s">
        <v>1836</v>
      </c>
      <c r="D869" s="35" t="s">
        <v>1834</v>
      </c>
      <c r="E869" s="35">
        <v>2.0</v>
      </c>
      <c r="F869" s="23"/>
      <c r="G869" s="1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9"/>
      <c r="B870" s="34" t="s">
        <v>1832</v>
      </c>
      <c r="C870" s="35" t="s">
        <v>1837</v>
      </c>
      <c r="D870" s="35" t="s">
        <v>1834</v>
      </c>
      <c r="E870" s="35">
        <v>2.0</v>
      </c>
      <c r="F870" s="23"/>
      <c r="G870" s="1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9"/>
      <c r="B871" s="34" t="s">
        <v>1832</v>
      </c>
      <c r="C871" s="35" t="s">
        <v>1838</v>
      </c>
      <c r="D871" s="35" t="s">
        <v>1834</v>
      </c>
      <c r="E871" s="35">
        <v>1.0</v>
      </c>
      <c r="F871" s="23"/>
      <c r="G871" s="1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9"/>
      <c r="B872" s="34" t="s">
        <v>1839</v>
      </c>
      <c r="C872" s="35" t="s">
        <v>1840</v>
      </c>
      <c r="D872" s="35" t="s">
        <v>1841</v>
      </c>
      <c r="E872" s="35">
        <v>1.0</v>
      </c>
      <c r="F872" s="23"/>
      <c r="G872" s="1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9"/>
      <c r="B873" s="34" t="s">
        <v>1842</v>
      </c>
      <c r="C873" s="35" t="s">
        <v>1843</v>
      </c>
      <c r="D873" s="35" t="s">
        <v>1844</v>
      </c>
      <c r="E873" s="35">
        <v>1.0</v>
      </c>
      <c r="F873" s="23"/>
      <c r="G873" s="1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9"/>
      <c r="B874" s="34" t="s">
        <v>1845</v>
      </c>
      <c r="C874" s="35" t="s">
        <v>1846</v>
      </c>
      <c r="D874" s="35" t="s">
        <v>1844</v>
      </c>
      <c r="E874" s="35" t="s">
        <v>1847</v>
      </c>
      <c r="F874" s="23"/>
      <c r="G874" s="1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9"/>
      <c r="B875" s="34" t="s">
        <v>1848</v>
      </c>
      <c r="C875" s="35" t="s">
        <v>1849</v>
      </c>
      <c r="D875" s="35" t="s">
        <v>1844</v>
      </c>
      <c r="E875" s="35">
        <v>1.0</v>
      </c>
      <c r="F875" s="23"/>
      <c r="G875" s="1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9"/>
      <c r="B876" s="34" t="s">
        <v>1850</v>
      </c>
      <c r="C876" s="35" t="s">
        <v>1851</v>
      </c>
      <c r="D876" s="35" t="s">
        <v>1844</v>
      </c>
      <c r="E876" s="35">
        <v>1.0</v>
      </c>
      <c r="F876" s="23"/>
      <c r="G876" s="1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9"/>
      <c r="B877" s="34" t="s">
        <v>1852</v>
      </c>
      <c r="C877" s="35" t="s">
        <v>1853</v>
      </c>
      <c r="D877" s="35" t="s">
        <v>1844</v>
      </c>
      <c r="E877" s="35">
        <v>2.0</v>
      </c>
      <c r="F877" s="23"/>
      <c r="G877" s="1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9"/>
      <c r="B878" s="34" t="s">
        <v>1854</v>
      </c>
      <c r="C878" s="35" t="s">
        <v>1855</v>
      </c>
      <c r="D878" s="22"/>
      <c r="E878" s="35">
        <v>1.0</v>
      </c>
      <c r="F878" s="23"/>
      <c r="G878" s="1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9"/>
      <c r="B879" s="34" t="s">
        <v>1856</v>
      </c>
      <c r="C879" s="35" t="s">
        <v>1857</v>
      </c>
      <c r="D879" s="22"/>
      <c r="E879" s="35">
        <v>0.0</v>
      </c>
      <c r="F879" s="23"/>
      <c r="G879" s="1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9"/>
      <c r="B880" s="34" t="s">
        <v>1858</v>
      </c>
      <c r="C880" s="35" t="s">
        <v>1859</v>
      </c>
      <c r="D880" s="22"/>
      <c r="E880" s="35">
        <v>2.0</v>
      </c>
      <c r="F880" s="23"/>
      <c r="G880" s="1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9"/>
      <c r="B881" s="34" t="s">
        <v>1860</v>
      </c>
      <c r="C881" s="35" t="s">
        <v>1861</v>
      </c>
      <c r="D881" s="22"/>
      <c r="E881" s="35">
        <v>3.0</v>
      </c>
      <c r="F881" s="23"/>
      <c r="G881" s="1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9"/>
      <c r="B882" s="34" t="s">
        <v>1862</v>
      </c>
      <c r="C882" s="35" t="s">
        <v>1863</v>
      </c>
      <c r="D882" s="35" t="s">
        <v>1864</v>
      </c>
      <c r="E882" s="35">
        <v>1.0</v>
      </c>
      <c r="F882" s="23"/>
      <c r="G882" s="1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9"/>
      <c r="B883" s="34" t="s">
        <v>1865</v>
      </c>
      <c r="C883" s="35" t="s">
        <v>1866</v>
      </c>
      <c r="D883" s="35" t="s">
        <v>1867</v>
      </c>
      <c r="E883" s="35">
        <v>2.0</v>
      </c>
      <c r="F883" s="23"/>
      <c r="G883" s="1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9"/>
      <c r="B884" s="34" t="s">
        <v>1868</v>
      </c>
      <c r="C884" s="35" t="s">
        <v>1869</v>
      </c>
      <c r="D884" s="35" t="s">
        <v>1867</v>
      </c>
      <c r="E884" s="35">
        <v>2.0</v>
      </c>
      <c r="F884" s="23"/>
      <c r="G884" s="1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9"/>
      <c r="B885" s="34" t="s">
        <v>1870</v>
      </c>
      <c r="C885" s="35" t="s">
        <v>1871</v>
      </c>
      <c r="D885" s="35" t="s">
        <v>1867</v>
      </c>
      <c r="E885" s="35">
        <v>2.0</v>
      </c>
      <c r="F885" s="23"/>
      <c r="G885" s="1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9"/>
      <c r="B886" s="34" t="s">
        <v>1872</v>
      </c>
      <c r="C886" s="35" t="s">
        <v>1873</v>
      </c>
      <c r="D886" s="35" t="s">
        <v>1874</v>
      </c>
      <c r="E886" s="35">
        <v>1.0</v>
      </c>
      <c r="F886" s="23"/>
      <c r="G886" s="1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9"/>
      <c r="B887" s="34" t="s">
        <v>1875</v>
      </c>
      <c r="C887" s="35" t="s">
        <v>1876</v>
      </c>
      <c r="D887" s="35" t="s">
        <v>1874</v>
      </c>
      <c r="E887" s="35">
        <v>1.0</v>
      </c>
      <c r="F887" s="23"/>
      <c r="G887" s="1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9"/>
      <c r="B888" s="37"/>
      <c r="C888" s="22"/>
      <c r="D888" s="22"/>
      <c r="E888" s="22">
        <f>VALUE(TOTALES!F827)</f>
        <v>0</v>
      </c>
      <c r="F888" s="23"/>
      <c r="G888" s="1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9"/>
      <c r="B889" s="37"/>
      <c r="C889" s="22"/>
      <c r="D889" s="22"/>
      <c r="E889" s="22">
        <f>VALUE(TOTALES!F828)</f>
        <v>0</v>
      </c>
      <c r="F889" s="23"/>
      <c r="G889" s="1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9"/>
      <c r="B890" s="37"/>
      <c r="C890" s="22"/>
      <c r="D890" s="22"/>
      <c r="E890" s="22">
        <f>VALUE(TOTALES!F829)</f>
        <v>0</v>
      </c>
      <c r="F890" s="23"/>
      <c r="G890" s="1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9"/>
      <c r="B891" s="37"/>
      <c r="C891" s="22"/>
      <c r="D891" s="22"/>
      <c r="E891" s="22">
        <f>VALUE(TOTALES!F830)</f>
        <v>0</v>
      </c>
      <c r="F891" s="23"/>
      <c r="G891" s="1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9"/>
      <c r="B892" s="37"/>
      <c r="C892" s="22"/>
      <c r="D892" s="22"/>
      <c r="E892" s="22">
        <f>VALUE(TOTALES!F831)</f>
        <v>0</v>
      </c>
      <c r="F892" s="23"/>
      <c r="G892" s="1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9"/>
      <c r="B893" s="37"/>
      <c r="C893" s="22"/>
      <c r="D893" s="22"/>
      <c r="E893" s="22">
        <f>VALUE(TOTALES!F832)</f>
        <v>0</v>
      </c>
      <c r="F893" s="23"/>
      <c r="G893" s="1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9"/>
      <c r="B894" s="37"/>
      <c r="C894" s="22"/>
      <c r="D894" s="22"/>
      <c r="E894" s="22">
        <f>VALUE(TOTALES!F833)</f>
        <v>0</v>
      </c>
      <c r="F894" s="23"/>
      <c r="G894" s="1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9"/>
      <c r="B895" s="37"/>
      <c r="C895" s="22"/>
      <c r="D895" s="22"/>
      <c r="E895" s="22">
        <f>VALUE(TOTALES!F834)</f>
        <v>0</v>
      </c>
      <c r="F895" s="23"/>
      <c r="G895" s="1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9"/>
      <c r="B896" s="37"/>
      <c r="C896" s="22"/>
      <c r="D896" s="22"/>
      <c r="E896" s="22">
        <f>VALUE(TOTALES!F835)</f>
        <v>0</v>
      </c>
      <c r="F896" s="23"/>
      <c r="G896" s="1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9"/>
      <c r="B897" s="37"/>
      <c r="C897" s="22"/>
      <c r="D897" s="22"/>
      <c r="E897" s="22">
        <f>VALUE(TOTALES!F836)</f>
        <v>0</v>
      </c>
      <c r="F897" s="23"/>
      <c r="G897" s="1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9"/>
      <c r="B898" s="37"/>
      <c r="C898" s="22"/>
      <c r="D898" s="22"/>
      <c r="E898" s="22">
        <f>VALUE(TOTALES!F837)</f>
        <v>0</v>
      </c>
      <c r="F898" s="23"/>
      <c r="G898" s="1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9"/>
      <c r="B899" s="37"/>
      <c r="C899" s="22"/>
      <c r="D899" s="22"/>
      <c r="E899" s="22">
        <f>VALUE(TOTALES!F838)</f>
        <v>0</v>
      </c>
      <c r="F899" s="23"/>
      <c r="G899" s="1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9"/>
      <c r="B900" s="37"/>
      <c r="C900" s="22"/>
      <c r="D900" s="22"/>
      <c r="E900" s="22">
        <f>VALUE(TOTALES!F839)</f>
        <v>0</v>
      </c>
      <c r="F900" s="23"/>
      <c r="G900" s="1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9"/>
      <c r="B901" s="37"/>
      <c r="C901" s="22"/>
      <c r="D901" s="22"/>
      <c r="E901" s="22">
        <f>VALUE(TOTALES!F840)</f>
        <v>0</v>
      </c>
      <c r="F901" s="23"/>
      <c r="G901" s="1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9"/>
      <c r="B902" s="37"/>
      <c r="C902" s="22"/>
      <c r="D902" s="22"/>
      <c r="E902" s="22">
        <f>VALUE(TOTALES!F841)</f>
        <v>0</v>
      </c>
      <c r="F902" s="23"/>
      <c r="G902" s="1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9"/>
      <c r="B903" s="37"/>
      <c r="C903" s="22"/>
      <c r="D903" s="22"/>
      <c r="E903" s="22">
        <f>VALUE(TOTALES!F842)</f>
        <v>0</v>
      </c>
      <c r="F903" s="23"/>
      <c r="G903" s="1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9"/>
      <c r="B904" s="37"/>
      <c r="C904" s="22"/>
      <c r="D904" s="22"/>
      <c r="E904" s="22">
        <f>VALUE(TOTALES!F843)</f>
        <v>0</v>
      </c>
      <c r="F904" s="23"/>
      <c r="G904" s="1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9"/>
      <c r="B905" s="37"/>
      <c r="C905" s="22"/>
      <c r="D905" s="22"/>
      <c r="E905" s="22">
        <f>VALUE(TOTALES!F844)</f>
        <v>0</v>
      </c>
      <c r="F905" s="23"/>
      <c r="G905" s="1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9"/>
      <c r="B906" s="37"/>
      <c r="C906" s="22"/>
      <c r="D906" s="22"/>
      <c r="E906" s="22">
        <f>VALUE(TOTALES!F845)</f>
        <v>0</v>
      </c>
      <c r="F906" s="23"/>
      <c r="G906" s="1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9"/>
      <c r="B907" s="37"/>
      <c r="C907" s="22"/>
      <c r="D907" s="22"/>
      <c r="E907" s="22">
        <f>VALUE(TOTALES!F846)</f>
        <v>0</v>
      </c>
      <c r="F907" s="23"/>
      <c r="G907" s="1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9"/>
      <c r="B908" s="37"/>
      <c r="C908" s="22"/>
      <c r="D908" s="22"/>
      <c r="E908" s="22">
        <f>VALUE(TOTALES!F847)</f>
        <v>0</v>
      </c>
      <c r="F908" s="23"/>
      <c r="G908" s="1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9"/>
      <c r="B909" s="37"/>
      <c r="C909" s="22"/>
      <c r="D909" s="22"/>
      <c r="E909" s="22">
        <f>VALUE(TOTALES!F848)</f>
        <v>0</v>
      </c>
      <c r="F909" s="23"/>
      <c r="G909" s="1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9"/>
      <c r="B910" s="37"/>
      <c r="C910" s="22"/>
      <c r="D910" s="22"/>
      <c r="E910" s="22">
        <f>VALUE(TOTALES!F849)</f>
        <v>0</v>
      </c>
      <c r="F910" s="23"/>
      <c r="G910" s="1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9"/>
      <c r="B911" s="37"/>
      <c r="C911" s="22"/>
      <c r="D911" s="22"/>
      <c r="E911" s="22">
        <f>VALUE(TOTALES!F850)</f>
        <v>0</v>
      </c>
      <c r="F911" s="23"/>
      <c r="G911" s="1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9"/>
      <c r="B912" s="37"/>
      <c r="C912" s="22"/>
      <c r="D912" s="22"/>
      <c r="E912" s="22">
        <f>VALUE(TOTALES!F851)</f>
        <v>0</v>
      </c>
      <c r="F912" s="23"/>
      <c r="G912" s="1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9"/>
      <c r="B913" s="37"/>
      <c r="C913" s="22"/>
      <c r="D913" s="22"/>
      <c r="E913" s="22">
        <f>VALUE(TOTALES!F852)</f>
        <v>0</v>
      </c>
      <c r="F913" s="23"/>
      <c r="G913" s="1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9"/>
      <c r="B914" s="37"/>
      <c r="C914" s="22"/>
      <c r="D914" s="22"/>
      <c r="E914" s="22">
        <f>VALUE(TOTALES!F853)</f>
        <v>0</v>
      </c>
      <c r="F914" s="23"/>
      <c r="G914" s="1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9"/>
      <c r="B915" s="37"/>
      <c r="C915" s="22"/>
      <c r="D915" s="22"/>
      <c r="E915" s="22">
        <f>VALUE(TOTALES!F854)</f>
        <v>0</v>
      </c>
      <c r="F915" s="23"/>
      <c r="G915" s="1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9"/>
      <c r="B916" s="37"/>
      <c r="C916" s="22"/>
      <c r="D916" s="22"/>
      <c r="E916" s="22">
        <f>VALUE(TOTALES!F855)</f>
        <v>0</v>
      </c>
      <c r="F916" s="23"/>
      <c r="G916" s="1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9"/>
      <c r="B917" s="37"/>
      <c r="C917" s="22"/>
      <c r="D917" s="22"/>
      <c r="E917" s="22">
        <f>VALUE(TOTALES!F856)</f>
        <v>0</v>
      </c>
      <c r="F917" s="23"/>
      <c r="G917" s="1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9"/>
      <c r="B918" s="37"/>
      <c r="C918" s="22"/>
      <c r="D918" s="22"/>
      <c r="E918" s="22">
        <f>VALUE(TOTALES!F857)</f>
        <v>0</v>
      </c>
      <c r="F918" s="23"/>
      <c r="G918" s="1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9"/>
      <c r="B919" s="37"/>
      <c r="C919" s="22"/>
      <c r="D919" s="22"/>
      <c r="E919" s="22">
        <f>VALUE(TOTALES!F858)</f>
        <v>0</v>
      </c>
      <c r="F919" s="23"/>
      <c r="G919" s="1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9"/>
      <c r="B920" s="37"/>
      <c r="C920" s="22"/>
      <c r="D920" s="22"/>
      <c r="E920" s="22">
        <f>VALUE(TOTALES!F859)</f>
        <v>0</v>
      </c>
      <c r="F920" s="23"/>
      <c r="G920" s="1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9"/>
      <c r="B921" s="37"/>
      <c r="C921" s="22"/>
      <c r="D921" s="22"/>
      <c r="E921" s="22">
        <f>VALUE(TOTALES!F860)</f>
        <v>0</v>
      </c>
      <c r="F921" s="23"/>
      <c r="G921" s="1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9"/>
      <c r="B922" s="37"/>
      <c r="C922" s="22"/>
      <c r="D922" s="22"/>
      <c r="E922" s="22">
        <f>VALUE(TOTALES!F861)</f>
        <v>0</v>
      </c>
      <c r="F922" s="23"/>
      <c r="G922" s="1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9"/>
      <c r="B923" s="37"/>
      <c r="C923" s="22"/>
      <c r="D923" s="22"/>
      <c r="E923" s="22">
        <f>VALUE(TOTALES!F862)</f>
        <v>0</v>
      </c>
      <c r="F923" s="23"/>
      <c r="G923" s="1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9"/>
      <c r="B924" s="37"/>
      <c r="C924" s="22"/>
      <c r="D924" s="22"/>
      <c r="E924" s="22">
        <f>VALUE(TOTALES!F863)</f>
        <v>0</v>
      </c>
      <c r="F924" s="23"/>
      <c r="G924" s="1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9"/>
      <c r="B925" s="37"/>
      <c r="C925" s="22"/>
      <c r="D925" s="22"/>
      <c r="E925" s="22">
        <f>VALUE(TOTALES!F864)</f>
        <v>0</v>
      </c>
      <c r="F925" s="23"/>
      <c r="G925" s="1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9"/>
      <c r="B926" s="37"/>
      <c r="C926" s="22"/>
      <c r="D926" s="22"/>
      <c r="E926" s="22">
        <f>VALUE(TOTALES!F865)</f>
        <v>0</v>
      </c>
      <c r="F926" s="23"/>
      <c r="G926" s="1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9"/>
      <c r="B927" s="37"/>
      <c r="C927" s="22"/>
      <c r="D927" s="22"/>
      <c r="E927" s="22">
        <f>VALUE(TOTALES!F866)</f>
        <v>0</v>
      </c>
      <c r="F927" s="23"/>
      <c r="G927" s="1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9"/>
      <c r="B928" s="37"/>
      <c r="C928" s="22"/>
      <c r="D928" s="22"/>
      <c r="E928" s="22">
        <f>VALUE(TOTALES!F867)</f>
        <v>0</v>
      </c>
      <c r="F928" s="23"/>
      <c r="G928" s="1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9"/>
      <c r="B929" s="37"/>
      <c r="C929" s="22"/>
      <c r="D929" s="22"/>
      <c r="E929" s="22">
        <f>VALUE(TOTALES!F868)</f>
        <v>0</v>
      </c>
      <c r="F929" s="23"/>
      <c r="G929" s="1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9"/>
      <c r="B930" s="37"/>
      <c r="C930" s="22"/>
      <c r="D930" s="22"/>
      <c r="E930" s="22">
        <f>VALUE(TOTALES!F869)</f>
        <v>0</v>
      </c>
      <c r="F930" s="23"/>
      <c r="G930" s="1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9"/>
      <c r="B931" s="37"/>
      <c r="C931" s="22"/>
      <c r="D931" s="22"/>
      <c r="E931" s="22">
        <f>VALUE(TOTALES!F870)</f>
        <v>0</v>
      </c>
      <c r="F931" s="23"/>
      <c r="G931" s="1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9"/>
      <c r="B932" s="37"/>
      <c r="C932" s="22"/>
      <c r="D932" s="22"/>
      <c r="E932" s="22">
        <f>VALUE(TOTALES!F871)</f>
        <v>0</v>
      </c>
      <c r="F932" s="23"/>
      <c r="G932" s="1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9"/>
      <c r="B933" s="37"/>
      <c r="C933" s="22"/>
      <c r="D933" s="22"/>
      <c r="E933" s="22">
        <f>VALUE(TOTALES!F872)</f>
        <v>0</v>
      </c>
      <c r="F933" s="23"/>
      <c r="G933" s="1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9"/>
      <c r="B934" s="37"/>
      <c r="C934" s="22"/>
      <c r="D934" s="22"/>
      <c r="E934" s="22">
        <f>VALUE(TOTALES!F873)</f>
        <v>0</v>
      </c>
      <c r="F934" s="23"/>
      <c r="G934" s="1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9"/>
      <c r="B935" s="37"/>
      <c r="C935" s="22"/>
      <c r="D935" s="22"/>
      <c r="E935" s="22">
        <f>VALUE(TOTALES!F874)</f>
        <v>0</v>
      </c>
      <c r="F935" s="23"/>
      <c r="G935" s="1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9"/>
      <c r="B936" s="37"/>
      <c r="C936" s="22"/>
      <c r="D936" s="22"/>
      <c r="E936" s="22">
        <f>VALUE(TOTALES!F875)</f>
        <v>0</v>
      </c>
      <c r="F936" s="23"/>
      <c r="G936" s="1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9"/>
      <c r="B937" s="37"/>
      <c r="C937" s="22"/>
      <c r="D937" s="22"/>
      <c r="E937" s="22">
        <f>VALUE(TOTALES!F876)</f>
        <v>0</v>
      </c>
      <c r="F937" s="23"/>
      <c r="G937" s="1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9"/>
      <c r="B938" s="37"/>
      <c r="C938" s="22"/>
      <c r="D938" s="22"/>
      <c r="E938" s="22">
        <f>VALUE(TOTALES!F877)</f>
        <v>0</v>
      </c>
      <c r="F938" s="23"/>
      <c r="G938" s="1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9"/>
      <c r="B939" s="37"/>
      <c r="C939" s="22"/>
      <c r="D939" s="22"/>
      <c r="E939" s="22">
        <f>VALUE(TOTALES!F878)</f>
        <v>0</v>
      </c>
      <c r="F939" s="23"/>
      <c r="G939" s="1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9"/>
      <c r="B940" s="37"/>
      <c r="C940" s="22"/>
      <c r="D940" s="22"/>
      <c r="E940" s="22">
        <f>VALUE(TOTALES!F879)</f>
        <v>0</v>
      </c>
      <c r="F940" s="23"/>
      <c r="G940" s="1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9"/>
      <c r="B941" s="37"/>
      <c r="C941" s="22"/>
      <c r="D941" s="22"/>
      <c r="E941" s="22">
        <f>VALUE(TOTALES!F880)</f>
        <v>0</v>
      </c>
      <c r="F941" s="23"/>
      <c r="G941" s="1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9"/>
      <c r="B942" s="37"/>
      <c r="C942" s="22"/>
      <c r="D942" s="22"/>
      <c r="E942" s="22">
        <f>VALUE(TOTALES!F881)</f>
        <v>0</v>
      </c>
      <c r="F942" s="23"/>
      <c r="G942" s="1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9"/>
      <c r="B943" s="37"/>
      <c r="C943" s="22"/>
      <c r="D943" s="22"/>
      <c r="E943" s="22">
        <f>VALUE(TOTALES!F882)</f>
        <v>0</v>
      </c>
      <c r="F943" s="23"/>
      <c r="G943" s="1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9"/>
      <c r="B944" s="37"/>
      <c r="C944" s="22"/>
      <c r="D944" s="22"/>
      <c r="E944" s="22">
        <f>VALUE(TOTALES!F883)</f>
        <v>0</v>
      </c>
      <c r="F944" s="23"/>
      <c r="G944" s="1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9"/>
      <c r="B945" s="37"/>
      <c r="C945" s="22"/>
      <c r="D945" s="22"/>
      <c r="E945" s="22">
        <f>VALUE(TOTALES!F884)</f>
        <v>0</v>
      </c>
      <c r="F945" s="23"/>
      <c r="G945" s="1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9"/>
      <c r="B946" s="37"/>
      <c r="C946" s="22"/>
      <c r="D946" s="22"/>
      <c r="E946" s="22">
        <f>VALUE(TOTALES!F885)</f>
        <v>0</v>
      </c>
      <c r="F946" s="23"/>
      <c r="G946" s="1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9"/>
      <c r="B947" s="37"/>
      <c r="C947" s="22"/>
      <c r="D947" s="22"/>
      <c r="E947" s="22">
        <f>VALUE(TOTALES!F886)</f>
        <v>0</v>
      </c>
      <c r="F947" s="23"/>
      <c r="G947" s="1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9"/>
      <c r="B948" s="37"/>
      <c r="C948" s="22"/>
      <c r="D948" s="22"/>
      <c r="E948" s="22">
        <f>VALUE(TOTALES!F887)</f>
        <v>0</v>
      </c>
      <c r="F948" s="23"/>
      <c r="G948" s="1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9"/>
      <c r="B949" s="37"/>
      <c r="C949" s="22"/>
      <c r="D949" s="22"/>
      <c r="E949" s="22">
        <f>VALUE(TOTALES!F888)</f>
        <v>0</v>
      </c>
      <c r="F949" s="23"/>
      <c r="G949" s="1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9"/>
      <c r="B950" s="37"/>
      <c r="C950" s="22"/>
      <c r="D950" s="22"/>
      <c r="E950" s="22">
        <f>VALUE(TOTALES!F889)</f>
        <v>0</v>
      </c>
      <c r="F950" s="23"/>
      <c r="G950" s="1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9"/>
      <c r="B951" s="37"/>
      <c r="C951" s="22"/>
      <c r="D951" s="22"/>
      <c r="E951" s="22">
        <f>VALUE(TOTALES!F890)</f>
        <v>0</v>
      </c>
      <c r="F951" s="23"/>
      <c r="G951" s="1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9"/>
      <c r="B952" s="37"/>
      <c r="C952" s="22"/>
      <c r="D952" s="22"/>
      <c r="E952" s="22">
        <f>VALUE(TOTALES!F891)</f>
        <v>0</v>
      </c>
      <c r="F952" s="23"/>
      <c r="G952" s="1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9"/>
      <c r="B953" s="37"/>
      <c r="C953" s="22"/>
      <c r="D953" s="22"/>
      <c r="E953" s="22">
        <f>VALUE(TOTALES!F892)</f>
        <v>0</v>
      </c>
      <c r="F953" s="23"/>
      <c r="G953" s="1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9"/>
      <c r="B954" s="37"/>
      <c r="C954" s="22"/>
      <c r="D954" s="22"/>
      <c r="E954" s="22">
        <f>VALUE(TOTALES!F893)</f>
        <v>0</v>
      </c>
      <c r="F954" s="23"/>
      <c r="G954" s="1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9"/>
      <c r="B955" s="37"/>
      <c r="C955" s="22"/>
      <c r="D955" s="22"/>
      <c r="E955" s="22">
        <f>VALUE(TOTALES!F894)</f>
        <v>0</v>
      </c>
      <c r="F955" s="23"/>
      <c r="G955" s="1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9"/>
      <c r="B956" s="37"/>
      <c r="C956" s="22"/>
      <c r="D956" s="22"/>
      <c r="E956" s="22">
        <f>VALUE(TOTALES!F895)</f>
        <v>0</v>
      </c>
      <c r="F956" s="23"/>
      <c r="G956" s="1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9"/>
      <c r="B957" s="37"/>
      <c r="C957" s="22"/>
      <c r="D957" s="22"/>
      <c r="E957" s="22">
        <f>VALUE(TOTALES!F896)</f>
        <v>0</v>
      </c>
      <c r="F957" s="23"/>
      <c r="G957" s="1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9"/>
      <c r="B958" s="37"/>
      <c r="C958" s="22"/>
      <c r="D958" s="22"/>
      <c r="E958" s="22">
        <f>VALUE(TOTALES!F897)</f>
        <v>0</v>
      </c>
      <c r="F958" s="23"/>
      <c r="G958" s="1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9"/>
      <c r="B959" s="37"/>
      <c r="C959" s="22"/>
      <c r="D959" s="22"/>
      <c r="E959" s="22">
        <f>VALUE(TOTALES!F898)</f>
        <v>0</v>
      </c>
      <c r="F959" s="23"/>
      <c r="G959" s="1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9"/>
      <c r="B960" s="37"/>
      <c r="C960" s="22"/>
      <c r="D960" s="22"/>
      <c r="E960" s="22">
        <f>VALUE(TOTALES!F899)</f>
        <v>0</v>
      </c>
      <c r="F960" s="23"/>
      <c r="G960" s="1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9"/>
      <c r="B961" s="37"/>
      <c r="C961" s="22"/>
      <c r="D961" s="22"/>
      <c r="E961" s="22">
        <f>VALUE(TOTALES!F900)</f>
        <v>0</v>
      </c>
      <c r="F961" s="23"/>
      <c r="G961" s="1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9"/>
      <c r="B962" s="37"/>
      <c r="C962" s="22"/>
      <c r="D962" s="22"/>
      <c r="E962" s="22">
        <f>VALUE(TOTALES!F901)</f>
        <v>0</v>
      </c>
      <c r="F962" s="23"/>
      <c r="G962" s="1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9"/>
      <c r="B963" s="37"/>
      <c r="C963" s="22"/>
      <c r="D963" s="22"/>
      <c r="E963" s="22">
        <f>VALUE(TOTALES!F902)</f>
        <v>0</v>
      </c>
      <c r="F963" s="23"/>
      <c r="G963" s="1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9"/>
      <c r="B964" s="37"/>
      <c r="C964" s="22"/>
      <c r="D964" s="22"/>
      <c r="E964" s="22">
        <f>VALUE(TOTALES!F903)</f>
        <v>0</v>
      </c>
      <c r="F964" s="23"/>
      <c r="G964" s="1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9"/>
      <c r="B965" s="37"/>
      <c r="C965" s="22"/>
      <c r="D965" s="22"/>
      <c r="E965" s="22">
        <f>VALUE(TOTALES!F904)</f>
        <v>0</v>
      </c>
      <c r="F965" s="23"/>
      <c r="G965" s="1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9"/>
      <c r="B966" s="37"/>
      <c r="C966" s="22"/>
      <c r="D966" s="22"/>
      <c r="E966" s="22">
        <f>VALUE(TOTALES!F905)</f>
        <v>0</v>
      </c>
      <c r="F966" s="23"/>
      <c r="G966" s="1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9"/>
      <c r="B967" s="37"/>
      <c r="C967" s="22"/>
      <c r="D967" s="22"/>
      <c r="E967" s="22">
        <f>VALUE(TOTALES!F906)</f>
        <v>0</v>
      </c>
      <c r="F967" s="23"/>
      <c r="G967" s="1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9"/>
      <c r="B968" s="37"/>
      <c r="C968" s="22"/>
      <c r="D968" s="22"/>
      <c r="E968" s="22">
        <f>VALUE(TOTALES!F907)</f>
        <v>0</v>
      </c>
      <c r="F968" s="23"/>
      <c r="G968" s="1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9"/>
      <c r="B969" s="37"/>
      <c r="C969" s="22"/>
      <c r="D969" s="22"/>
      <c r="E969" s="22">
        <f>VALUE(TOTALES!F908)</f>
        <v>0</v>
      </c>
      <c r="F969" s="23"/>
      <c r="G969" s="1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9"/>
      <c r="B970" s="37"/>
      <c r="C970" s="22"/>
      <c r="D970" s="22"/>
      <c r="E970" s="22">
        <f>VALUE(TOTALES!F909)</f>
        <v>0</v>
      </c>
      <c r="F970" s="23"/>
      <c r="G970" s="1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9"/>
      <c r="B971" s="37"/>
      <c r="C971" s="22"/>
      <c r="D971" s="22"/>
      <c r="E971" s="22">
        <f>VALUE(TOTALES!F910)</f>
        <v>0</v>
      </c>
      <c r="F971" s="23"/>
      <c r="G971" s="1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9"/>
      <c r="B972" s="37"/>
      <c r="C972" s="22"/>
      <c r="D972" s="22"/>
      <c r="E972" s="22">
        <f>VALUE(TOTALES!F911)</f>
        <v>0</v>
      </c>
      <c r="F972" s="23"/>
      <c r="G972" s="1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9"/>
      <c r="B973" s="37"/>
      <c r="C973" s="22"/>
      <c r="D973" s="22"/>
      <c r="E973" s="22">
        <f>VALUE(TOTALES!F912)</f>
        <v>0</v>
      </c>
      <c r="F973" s="23"/>
      <c r="G973" s="1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9"/>
      <c r="B974" s="37"/>
      <c r="C974" s="22"/>
      <c r="D974" s="22"/>
      <c r="E974" s="22">
        <f>VALUE(TOTALES!F913)</f>
        <v>0</v>
      </c>
      <c r="F974" s="23"/>
      <c r="G974" s="1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9"/>
      <c r="B975" s="37"/>
      <c r="C975" s="22"/>
      <c r="D975" s="22"/>
      <c r="E975" s="22">
        <f>VALUE(TOTALES!F914)</f>
        <v>0</v>
      </c>
      <c r="F975" s="23"/>
      <c r="G975" s="1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9"/>
      <c r="B976" s="37"/>
      <c r="C976" s="22"/>
      <c r="D976" s="22"/>
      <c r="E976" s="22">
        <f>VALUE(TOTALES!F915)</f>
        <v>0</v>
      </c>
      <c r="F976" s="23"/>
      <c r="G976" s="1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9"/>
      <c r="B977" s="37"/>
      <c r="C977" s="22"/>
      <c r="D977" s="22"/>
      <c r="E977" s="22">
        <f>VALUE(TOTALES!F916)</f>
        <v>0</v>
      </c>
      <c r="F977" s="23"/>
      <c r="G977" s="1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9"/>
      <c r="B978" s="37"/>
      <c r="C978" s="22"/>
      <c r="D978" s="22"/>
      <c r="E978" s="22">
        <f>VALUE(TOTALES!F917)</f>
        <v>0</v>
      </c>
      <c r="F978" s="23"/>
      <c r="G978" s="1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9"/>
      <c r="B979" s="37"/>
      <c r="C979" s="22"/>
      <c r="D979" s="22"/>
      <c r="E979" s="22">
        <f>VALUE(TOTALES!F918)</f>
        <v>0</v>
      </c>
      <c r="F979" s="23"/>
      <c r="G979" s="1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9"/>
      <c r="B980" s="37"/>
      <c r="C980" s="22"/>
      <c r="D980" s="22"/>
      <c r="E980" s="22">
        <f>VALUE(TOTALES!F919)</f>
        <v>0</v>
      </c>
      <c r="F980" s="23"/>
      <c r="G980" s="1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9"/>
      <c r="B981" s="37"/>
      <c r="C981" s="22"/>
      <c r="D981" s="22"/>
      <c r="E981" s="22">
        <f>VALUE(TOTALES!F920)</f>
        <v>0</v>
      </c>
      <c r="F981" s="23"/>
      <c r="G981" s="1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9"/>
      <c r="B982" s="37"/>
      <c r="C982" s="22"/>
      <c r="D982" s="22"/>
      <c r="E982" s="22">
        <f>VALUE(TOTALES!F921)</f>
        <v>0</v>
      </c>
      <c r="F982" s="23"/>
      <c r="G982" s="1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9"/>
      <c r="B983" s="37"/>
      <c r="C983" s="22"/>
      <c r="D983" s="22"/>
      <c r="E983" s="22">
        <f>VALUE(TOTALES!F922)</f>
        <v>0</v>
      </c>
      <c r="F983" s="23"/>
      <c r="G983" s="1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9"/>
      <c r="B984" s="37"/>
      <c r="C984" s="22"/>
      <c r="D984" s="22"/>
      <c r="E984" s="22">
        <f>VALUE(TOTALES!F923)</f>
        <v>0</v>
      </c>
      <c r="F984" s="23"/>
      <c r="G984" s="1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9"/>
      <c r="B985" s="37"/>
      <c r="C985" s="22"/>
      <c r="D985" s="22"/>
      <c r="E985" s="22">
        <f>VALUE(TOTALES!F924)</f>
        <v>0</v>
      </c>
      <c r="F985" s="23"/>
      <c r="G985" s="1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9"/>
      <c r="B986" s="37"/>
      <c r="C986" s="22"/>
      <c r="D986" s="22"/>
      <c r="E986" s="22">
        <f>VALUE(TOTALES!F925)</f>
        <v>0</v>
      </c>
      <c r="F986" s="23"/>
      <c r="G986" s="15"/>
      <c r="H986" s="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9"/>
      <c r="B987" s="37"/>
      <c r="C987" s="22"/>
      <c r="D987" s="22"/>
      <c r="E987" s="22">
        <f>VALUE(TOTALES!F926)</f>
        <v>0</v>
      </c>
      <c r="F987" s="23"/>
      <c r="G987" s="15"/>
      <c r="H987" s="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9"/>
      <c r="B988" s="37"/>
      <c r="C988" s="22"/>
      <c r="D988" s="22"/>
      <c r="E988" s="22">
        <f>VALUE(TOTALES!F927)</f>
        <v>0</v>
      </c>
      <c r="F988" s="23"/>
      <c r="G988" s="15"/>
      <c r="H988" s="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9"/>
      <c r="B989" s="37"/>
      <c r="C989" s="22"/>
      <c r="D989" s="22"/>
      <c r="E989" s="22">
        <f>VALUE(TOTALES!F928)</f>
        <v>0</v>
      </c>
      <c r="F989" s="23"/>
      <c r="G989" s="15"/>
      <c r="H989" s="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9"/>
      <c r="B990" s="37"/>
      <c r="C990" s="22"/>
      <c r="D990" s="22"/>
      <c r="E990" s="22">
        <f>VALUE(TOTALES!F929)</f>
        <v>0</v>
      </c>
      <c r="F990" s="23"/>
      <c r="G990" s="15"/>
      <c r="H990" s="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9"/>
      <c r="B991" s="37"/>
      <c r="C991" s="22"/>
      <c r="D991" s="22"/>
      <c r="E991" s="22">
        <f>VALUE(TOTALES!F930)</f>
        <v>0</v>
      </c>
      <c r="F991" s="23"/>
      <c r="G991" s="15"/>
      <c r="H991" s="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9"/>
      <c r="B992" s="37"/>
      <c r="C992" s="22"/>
      <c r="D992" s="22"/>
      <c r="E992" s="22">
        <f>VALUE(TOTALES!F931)</f>
        <v>0</v>
      </c>
      <c r="F992" s="23"/>
      <c r="G992" s="15"/>
      <c r="H992" s="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9"/>
      <c r="B993" s="37"/>
      <c r="C993" s="22"/>
      <c r="D993" s="22"/>
      <c r="E993" s="22">
        <f>VALUE(TOTALES!F932)</f>
        <v>0</v>
      </c>
      <c r="F993" s="23"/>
      <c r="G993" s="15"/>
      <c r="H993" s="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9"/>
      <c r="B994" s="37"/>
      <c r="C994" s="22"/>
      <c r="D994" s="22"/>
      <c r="E994" s="22">
        <f>VALUE(TOTALES!F933)</f>
        <v>0</v>
      </c>
      <c r="F994" s="23"/>
      <c r="G994" s="15"/>
      <c r="H994" s="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9"/>
      <c r="B995" s="37"/>
      <c r="C995" s="22"/>
      <c r="D995" s="22"/>
      <c r="E995" s="22">
        <f>VALUE(TOTALES!F934)</f>
        <v>0</v>
      </c>
      <c r="F995" s="23"/>
      <c r="G995" s="15"/>
      <c r="H995" s="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9"/>
      <c r="B996" s="37"/>
      <c r="C996" s="22"/>
      <c r="D996" s="22"/>
      <c r="E996" s="22">
        <f>VALUE(TOTALES!F935)</f>
        <v>0</v>
      </c>
      <c r="F996" s="23"/>
      <c r="G996" s="15"/>
      <c r="H996" s="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9"/>
      <c r="B997" s="37"/>
      <c r="C997" s="22"/>
      <c r="D997" s="22"/>
      <c r="E997" s="22">
        <f>VALUE(TOTALES!F936)</f>
        <v>0</v>
      </c>
      <c r="F997" s="23"/>
      <c r="G997" s="15"/>
      <c r="H997" s="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9"/>
      <c r="B998" s="37"/>
      <c r="C998" s="22"/>
      <c r="D998" s="22"/>
      <c r="E998" s="22">
        <f>VALUE(TOTALES!F937)</f>
        <v>0</v>
      </c>
      <c r="F998" s="23"/>
      <c r="G998" s="15"/>
      <c r="H998" s="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9"/>
      <c r="B999" s="37"/>
      <c r="C999" s="22"/>
      <c r="D999" s="22"/>
      <c r="E999" s="22">
        <f>VALUE(TOTALES!F938)</f>
        <v>0</v>
      </c>
      <c r="F999" s="23"/>
      <c r="G999" s="15"/>
      <c r="H999" s="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9"/>
      <c r="B1000" s="37"/>
      <c r="C1000" s="22"/>
      <c r="D1000" s="22"/>
      <c r="E1000" s="22">
        <f>VALUE(TOTALES!F939)</f>
        <v>0</v>
      </c>
      <c r="F1000" s="23"/>
      <c r="G1000" s="15"/>
      <c r="H1000" s="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9"/>
      <c r="B1001" s="37"/>
      <c r="C1001" s="22"/>
      <c r="D1001" s="22"/>
      <c r="E1001" s="22">
        <f>VALUE(TOTALES!F940)</f>
        <v>0</v>
      </c>
      <c r="F1001" s="23"/>
      <c r="G1001" s="15"/>
      <c r="H1001" s="5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9"/>
      <c r="B1002" s="37"/>
      <c r="C1002" s="22"/>
      <c r="D1002" s="22"/>
      <c r="E1002" s="22">
        <f>VALUE(TOTALES!F941)</f>
        <v>0</v>
      </c>
      <c r="F1002" s="23"/>
      <c r="G1002" s="15"/>
      <c r="H1002" s="5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9"/>
      <c r="B1003" s="37"/>
      <c r="C1003" s="22"/>
      <c r="D1003" s="22"/>
      <c r="E1003" s="22">
        <f>VALUE(TOTALES!F942)</f>
        <v>0</v>
      </c>
      <c r="F1003" s="23"/>
      <c r="G1003" s="15"/>
      <c r="H1003" s="5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9"/>
      <c r="B1004" s="37"/>
      <c r="C1004" s="22"/>
      <c r="D1004" s="22"/>
      <c r="E1004" s="22">
        <f>VALUE(TOTALES!F943)</f>
        <v>0</v>
      </c>
      <c r="F1004" s="23"/>
      <c r="G1004" s="15"/>
      <c r="H1004" s="5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9"/>
      <c r="B1005" s="37"/>
      <c r="C1005" s="22"/>
      <c r="D1005" s="22"/>
      <c r="E1005" s="22">
        <f>VALUE(TOTALES!F944)</f>
        <v>0</v>
      </c>
      <c r="F1005" s="23"/>
      <c r="G1005" s="15"/>
      <c r="H1005" s="5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9"/>
      <c r="B1006" s="37"/>
      <c r="C1006" s="22"/>
      <c r="D1006" s="22"/>
      <c r="E1006" s="22">
        <f>VALUE(TOTALES!F945)</f>
        <v>0</v>
      </c>
      <c r="F1006" s="23"/>
      <c r="G1006" s="15"/>
      <c r="H1006" s="5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9"/>
      <c r="B1007" s="37"/>
      <c r="C1007" s="22"/>
      <c r="D1007" s="22"/>
      <c r="E1007" s="22">
        <f>VALUE(TOTALES!F946)</f>
        <v>0</v>
      </c>
      <c r="F1007" s="23"/>
      <c r="G1007" s="15"/>
      <c r="H1007" s="5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9"/>
      <c r="B1008" s="37"/>
      <c r="C1008" s="22"/>
      <c r="D1008" s="22"/>
      <c r="E1008" s="22">
        <f>VALUE(TOTALES!F947)</f>
        <v>0</v>
      </c>
      <c r="F1008" s="23"/>
      <c r="G1008" s="15"/>
      <c r="H1008" s="5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9"/>
      <c r="B1009" s="37"/>
      <c r="C1009" s="22"/>
      <c r="D1009" s="22"/>
      <c r="E1009" s="22">
        <f>VALUE(TOTALES!F948)</f>
        <v>0</v>
      </c>
      <c r="F1009" s="23"/>
      <c r="G1009" s="15"/>
      <c r="H1009" s="5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9"/>
      <c r="B1010" s="37"/>
      <c r="C1010" s="22"/>
      <c r="D1010" s="22"/>
      <c r="E1010" s="22">
        <f>VALUE(TOTALES!F949)</f>
        <v>0</v>
      </c>
      <c r="F1010" s="23"/>
      <c r="G1010" s="15"/>
      <c r="H1010" s="5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9"/>
      <c r="B1011" s="37"/>
      <c r="C1011" s="22"/>
      <c r="D1011" s="22"/>
      <c r="E1011" s="22">
        <f>VALUE(TOTALES!F950)</f>
        <v>0</v>
      </c>
      <c r="F1011" s="23"/>
      <c r="G1011" s="15"/>
      <c r="H1011" s="5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9"/>
      <c r="B1012" s="37"/>
      <c r="C1012" s="22"/>
      <c r="D1012" s="22"/>
      <c r="E1012" s="22">
        <f>VALUE(TOTALES!F951)</f>
        <v>0</v>
      </c>
      <c r="F1012" s="23"/>
      <c r="G1012" s="15"/>
      <c r="H1012" s="5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9"/>
      <c r="B1013" s="37"/>
      <c r="C1013" s="22"/>
      <c r="D1013" s="22"/>
      <c r="E1013" s="22">
        <f>VALUE(TOTALES!F952)</f>
        <v>0</v>
      </c>
      <c r="F1013" s="23"/>
      <c r="G1013" s="15"/>
      <c r="H1013" s="5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9"/>
      <c r="B1014" s="37"/>
      <c r="C1014" s="22"/>
      <c r="D1014" s="22"/>
      <c r="E1014" s="22">
        <f>VALUE(TOTALES!F953)</f>
        <v>0</v>
      </c>
      <c r="F1014" s="23"/>
      <c r="G1014" s="15"/>
      <c r="H1014" s="5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9"/>
      <c r="B1015" s="37"/>
      <c r="C1015" s="22"/>
      <c r="D1015" s="22"/>
      <c r="E1015" s="22">
        <f>VALUE(TOTALES!F954)</f>
        <v>0</v>
      </c>
      <c r="F1015" s="23"/>
      <c r="G1015" s="15"/>
      <c r="H1015" s="5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9"/>
      <c r="B1016" s="37"/>
      <c r="C1016" s="22"/>
      <c r="D1016" s="22"/>
      <c r="E1016" s="22">
        <f>VALUE(TOTALES!F955)</f>
        <v>0</v>
      </c>
      <c r="F1016" s="23"/>
      <c r="G1016" s="15"/>
      <c r="H1016" s="5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9"/>
      <c r="B1017" s="37"/>
      <c r="C1017" s="22"/>
      <c r="D1017" s="22"/>
      <c r="E1017" s="22">
        <f>VALUE(TOTALES!F956)</f>
        <v>0</v>
      </c>
      <c r="F1017" s="23"/>
      <c r="G1017" s="15"/>
      <c r="H1017" s="5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9"/>
      <c r="B1018" s="37"/>
      <c r="C1018" s="22"/>
      <c r="D1018" s="22"/>
      <c r="E1018" s="22">
        <f>VALUE(TOTALES!F957)</f>
        <v>0</v>
      </c>
      <c r="F1018" s="23"/>
      <c r="G1018" s="15"/>
      <c r="H1018" s="5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9"/>
      <c r="B1019" s="37"/>
      <c r="C1019" s="22"/>
      <c r="D1019" s="22"/>
      <c r="E1019" s="22">
        <f>VALUE(TOTALES!F958)</f>
        <v>0</v>
      </c>
      <c r="F1019" s="23"/>
      <c r="G1019" s="15"/>
      <c r="H1019" s="5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9"/>
      <c r="B1020" s="37"/>
      <c r="C1020" s="22"/>
      <c r="D1020" s="22"/>
      <c r="E1020" s="22">
        <f>VALUE(TOTALES!F959)</f>
        <v>0</v>
      </c>
      <c r="F1020" s="23"/>
      <c r="G1020" s="15"/>
      <c r="H1020" s="5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9"/>
      <c r="B1021" s="37"/>
      <c r="C1021" s="22"/>
      <c r="D1021" s="22"/>
      <c r="E1021" s="22">
        <f>VALUE(TOTALES!F960)</f>
        <v>0</v>
      </c>
      <c r="F1021" s="23"/>
      <c r="G1021" s="15"/>
      <c r="H1021" s="5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9"/>
      <c r="B1022" s="37"/>
      <c r="C1022" s="22"/>
      <c r="D1022" s="22"/>
      <c r="E1022" s="22">
        <f>VALUE(TOTALES!F961)</f>
        <v>0</v>
      </c>
      <c r="F1022" s="23"/>
      <c r="G1022" s="15"/>
      <c r="H1022" s="5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9"/>
      <c r="B1023" s="37"/>
      <c r="C1023" s="22"/>
      <c r="D1023" s="22"/>
      <c r="E1023" s="22">
        <f>VALUE(TOTALES!F962)</f>
        <v>0</v>
      </c>
      <c r="F1023" s="23"/>
      <c r="G1023" s="15"/>
      <c r="H1023" s="5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9"/>
      <c r="B1024" s="37"/>
      <c r="C1024" s="22"/>
      <c r="D1024" s="22"/>
      <c r="E1024" s="22">
        <f>VALUE(TOTALES!F963)</f>
        <v>0</v>
      </c>
      <c r="F1024" s="23"/>
      <c r="G1024" s="15"/>
      <c r="H1024" s="5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9"/>
      <c r="B1025" s="37"/>
      <c r="C1025" s="22"/>
      <c r="D1025" s="22"/>
      <c r="E1025" s="22">
        <f>VALUE(TOTALES!F964)</f>
        <v>0</v>
      </c>
      <c r="F1025" s="23"/>
      <c r="G1025" s="15"/>
      <c r="H1025" s="5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9"/>
      <c r="B1026" s="37"/>
      <c r="C1026" s="22"/>
      <c r="D1026" s="22"/>
      <c r="E1026" s="22">
        <f>VALUE(TOTALES!F965)</f>
        <v>0</v>
      </c>
      <c r="F1026" s="23"/>
      <c r="G1026" s="15"/>
      <c r="H1026" s="5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9"/>
      <c r="B1027" s="37"/>
      <c r="C1027" s="22"/>
      <c r="D1027" s="22"/>
      <c r="E1027" s="22">
        <f>VALUE(TOTALES!F966)</f>
        <v>0</v>
      </c>
      <c r="F1027" s="23"/>
      <c r="G1027" s="15"/>
      <c r="H1027" s="5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9"/>
      <c r="B1028" s="37"/>
      <c r="C1028" s="22"/>
      <c r="D1028" s="22"/>
      <c r="E1028" s="22">
        <f>VALUE(TOTALES!F967)</f>
        <v>0</v>
      </c>
      <c r="F1028" s="23"/>
      <c r="G1028" s="15"/>
      <c r="H1028" s="5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9"/>
      <c r="B1029" s="34"/>
      <c r="C1029" s="22"/>
      <c r="D1029" s="22"/>
      <c r="E1029" s="22">
        <f>VALUE(TOTALES!F968)</f>
        <v>0</v>
      </c>
      <c r="F1029" s="23"/>
      <c r="G1029" s="15"/>
      <c r="H1029" s="5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9"/>
      <c r="B1030" s="37"/>
      <c r="C1030" s="22"/>
      <c r="D1030" s="22"/>
      <c r="E1030" s="22">
        <f>VALUE(TOTALES!F969)</f>
        <v>0</v>
      </c>
      <c r="F1030" s="23"/>
      <c r="G1030" s="15"/>
      <c r="H1030" s="5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9"/>
      <c r="B1031" s="37"/>
      <c r="C1031" s="22"/>
      <c r="D1031" s="22"/>
      <c r="E1031" s="22">
        <f>VALUE(TOTALES!F970)</f>
        <v>0</v>
      </c>
      <c r="F1031" s="23"/>
      <c r="G1031" s="15"/>
      <c r="H1031" s="5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9"/>
      <c r="B1032" s="37"/>
      <c r="C1032" s="22"/>
      <c r="D1032" s="22"/>
      <c r="E1032" s="22">
        <f>VALUE(TOTALES!F971)</f>
        <v>0</v>
      </c>
      <c r="F1032" s="23"/>
      <c r="G1032" s="15"/>
      <c r="H1032" s="5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9"/>
      <c r="B1033" s="37"/>
      <c r="C1033" s="22"/>
      <c r="D1033" s="22"/>
      <c r="E1033" s="22">
        <f>VALUE(TOTALES!F972)</f>
        <v>0</v>
      </c>
      <c r="F1033" s="23"/>
      <c r="G1033" s="15"/>
      <c r="H1033" s="5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9"/>
      <c r="B1034" s="37"/>
      <c r="C1034" s="22"/>
      <c r="D1034" s="22"/>
      <c r="E1034" s="22">
        <f>VALUE(TOTALES!F973)</f>
        <v>0</v>
      </c>
      <c r="F1034" s="23"/>
      <c r="G1034" s="15"/>
      <c r="H1034" s="5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9"/>
      <c r="B1035" s="37"/>
      <c r="C1035" s="22"/>
      <c r="D1035" s="22"/>
      <c r="E1035" s="22">
        <f>VALUE(TOTALES!F974)</f>
        <v>0</v>
      </c>
      <c r="F1035" s="23"/>
      <c r="G1035" s="15"/>
      <c r="H1035" s="5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9"/>
      <c r="B1036" s="37"/>
      <c r="C1036" s="22"/>
      <c r="D1036" s="22"/>
      <c r="E1036" s="22">
        <f>VALUE(TOTALES!F975)</f>
        <v>0</v>
      </c>
      <c r="F1036" s="23"/>
      <c r="G1036" s="15"/>
      <c r="H1036" s="5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9"/>
      <c r="B1037" s="37"/>
      <c r="C1037" s="22"/>
      <c r="D1037" s="22"/>
      <c r="E1037" s="22">
        <f>VALUE(TOTALES!F976)</f>
        <v>0</v>
      </c>
      <c r="F1037" s="23"/>
      <c r="G1037" s="15"/>
      <c r="H1037" s="5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9"/>
      <c r="B1038" s="37"/>
      <c r="C1038" s="22"/>
      <c r="D1038" s="22"/>
      <c r="E1038" s="22">
        <f>VALUE(TOTALES!F977)</f>
        <v>0</v>
      </c>
      <c r="F1038" s="23"/>
      <c r="G1038" s="15"/>
      <c r="H1038" s="5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9"/>
      <c r="B1039" s="37"/>
      <c r="C1039" s="22"/>
      <c r="D1039" s="22"/>
      <c r="E1039" s="22">
        <f>VALUE(TOTALES!F978)</f>
        <v>0</v>
      </c>
      <c r="F1039" s="23"/>
      <c r="G1039" s="15"/>
      <c r="H1039" s="5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9"/>
      <c r="B1040" s="37"/>
      <c r="C1040" s="22"/>
      <c r="D1040" s="22"/>
      <c r="E1040" s="22">
        <f>VALUE(TOTALES!F979)</f>
        <v>0</v>
      </c>
      <c r="F1040" s="23"/>
      <c r="G1040" s="15"/>
      <c r="H1040" s="5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9"/>
      <c r="B1041" s="37"/>
      <c r="C1041" s="22"/>
      <c r="D1041" s="22"/>
      <c r="E1041" s="22">
        <f>VALUE(TOTALES!F980)</f>
        <v>0</v>
      </c>
      <c r="F1041" s="23"/>
      <c r="G1041" s="15"/>
      <c r="H1041" s="5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9"/>
      <c r="B1042" s="37"/>
      <c r="C1042" s="22"/>
      <c r="D1042" s="22"/>
      <c r="E1042" s="22">
        <f>VALUE(TOTALES!F981)</f>
        <v>0</v>
      </c>
      <c r="F1042" s="23"/>
      <c r="G1042" s="15"/>
      <c r="H1042" s="5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9"/>
      <c r="B1043" s="37"/>
      <c r="C1043" s="22"/>
      <c r="D1043" s="22"/>
      <c r="E1043" s="22">
        <f>VALUE(TOTALES!F982)</f>
        <v>0</v>
      </c>
      <c r="F1043" s="23"/>
      <c r="G1043" s="15"/>
      <c r="H1043" s="5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9"/>
      <c r="B1044" s="37"/>
      <c r="C1044" s="22"/>
      <c r="D1044" s="22"/>
      <c r="E1044" s="22">
        <f>VALUE(TOTALES!F983)</f>
        <v>0</v>
      </c>
      <c r="F1044" s="23"/>
      <c r="G1044" s="15"/>
      <c r="H1044" s="5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9"/>
      <c r="B1045" s="37"/>
      <c r="C1045" s="22"/>
      <c r="D1045" s="22"/>
      <c r="E1045" s="22">
        <f>VALUE(TOTALES!F984)</f>
        <v>0</v>
      </c>
      <c r="F1045" s="23"/>
      <c r="G1045" s="15"/>
      <c r="H1045" s="5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9"/>
      <c r="B1046" s="37"/>
      <c r="C1046" s="22"/>
      <c r="D1046" s="22"/>
      <c r="E1046" s="22">
        <f>VALUE(TOTALES!F985)</f>
        <v>0</v>
      </c>
      <c r="F1046" s="23"/>
      <c r="G1046" s="15"/>
      <c r="H1046" s="5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9"/>
      <c r="B1047" s="37"/>
      <c r="C1047" s="22"/>
      <c r="D1047" s="22"/>
      <c r="E1047" s="22">
        <f>VALUE(TOTALES!F986)</f>
        <v>0</v>
      </c>
      <c r="F1047" s="23"/>
      <c r="G1047" s="15"/>
      <c r="H1047" s="5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9"/>
      <c r="B1048" s="37"/>
      <c r="C1048" s="22"/>
      <c r="D1048" s="22"/>
      <c r="E1048" s="22">
        <f>VALUE(TOTALES!F987)</f>
        <v>0</v>
      </c>
      <c r="F1048" s="23"/>
      <c r="G1048" s="15"/>
      <c r="H1048" s="5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9"/>
      <c r="B1049" s="37"/>
      <c r="C1049" s="22"/>
      <c r="D1049" s="22"/>
      <c r="E1049" s="22">
        <f>VALUE(TOTALES!F988)</f>
        <v>0</v>
      </c>
      <c r="F1049" s="23"/>
      <c r="G1049" s="15"/>
      <c r="H1049" s="5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9"/>
      <c r="B1050" s="37"/>
      <c r="C1050" s="22"/>
      <c r="D1050" s="22"/>
      <c r="E1050" s="22">
        <f>VALUE(TOTALES!F989)</f>
        <v>0</v>
      </c>
      <c r="F1050" s="23"/>
      <c r="G1050" s="15"/>
      <c r="H1050" s="5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9"/>
      <c r="B1051" s="37"/>
      <c r="C1051" s="22"/>
      <c r="D1051" s="22"/>
      <c r="E1051" s="22">
        <f>VALUE(TOTALES!F990)</f>
        <v>0</v>
      </c>
      <c r="F1051" s="23"/>
      <c r="G1051" s="15"/>
      <c r="H1051" s="5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9"/>
      <c r="B1052" s="37"/>
      <c r="C1052" s="22"/>
      <c r="D1052" s="22"/>
      <c r="E1052" s="22">
        <f>VALUE(TOTALES!F991)</f>
        <v>0</v>
      </c>
      <c r="F1052" s="23"/>
      <c r="G1052" s="15"/>
      <c r="H1052" s="5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9"/>
      <c r="B1053" s="37"/>
      <c r="C1053" s="22"/>
      <c r="D1053" s="22"/>
      <c r="E1053" s="22">
        <f>VALUE(TOTALES!F992)</f>
        <v>0</v>
      </c>
      <c r="F1053" s="23"/>
      <c r="G1053" s="15"/>
      <c r="H1053" s="5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9"/>
      <c r="B1054" s="37"/>
      <c r="C1054" s="22"/>
      <c r="D1054" s="22"/>
      <c r="E1054" s="22">
        <f>VALUE(TOTALES!F993)</f>
        <v>0</v>
      </c>
      <c r="F1054" s="23"/>
      <c r="G1054" s="15"/>
      <c r="H1054" s="5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9"/>
      <c r="B1055" s="37"/>
      <c r="C1055" s="22"/>
      <c r="D1055" s="22"/>
      <c r="E1055" s="22">
        <f>VALUE(TOTALES!F994)</f>
        <v>0</v>
      </c>
      <c r="F1055" s="23"/>
      <c r="G1055" s="15"/>
      <c r="H1055" s="5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9"/>
      <c r="B1056" s="37"/>
      <c r="C1056" s="22"/>
      <c r="D1056" s="22"/>
      <c r="E1056" s="22">
        <f>VALUE(TOTALES!F995)</f>
        <v>0</v>
      </c>
      <c r="F1056" s="23"/>
      <c r="G1056" s="15"/>
      <c r="H1056" s="5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9"/>
      <c r="B1057" s="37"/>
      <c r="C1057" s="22"/>
      <c r="D1057" s="22"/>
      <c r="E1057" s="22">
        <f>VALUE(TOTALES!F996)</f>
        <v>0</v>
      </c>
      <c r="F1057" s="23"/>
      <c r="G1057" s="15"/>
      <c r="H1057" s="5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9"/>
      <c r="B1058" s="37"/>
      <c r="C1058" s="22"/>
      <c r="D1058" s="22"/>
      <c r="E1058" s="22">
        <f>VALUE(TOTALES!F997)</f>
        <v>0</v>
      </c>
      <c r="F1058" s="23"/>
      <c r="G1058" s="15"/>
      <c r="H1058" s="5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9"/>
      <c r="B1059" s="37"/>
      <c r="C1059" s="22"/>
      <c r="D1059" s="22"/>
      <c r="E1059" s="22">
        <f>VALUE(TOTALES!F998)</f>
        <v>0</v>
      </c>
      <c r="F1059" s="23"/>
      <c r="G1059" s="15"/>
      <c r="H1059" s="5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9"/>
      <c r="B1060" s="37"/>
      <c r="C1060" s="22"/>
      <c r="D1060" s="22"/>
      <c r="E1060" s="22">
        <f>VALUE(TOTALES!F999)</f>
        <v>0</v>
      </c>
      <c r="F1060" s="23"/>
      <c r="G1060" s="15"/>
      <c r="H1060" s="5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</sheetData>
  <mergeCells count="1">
    <mergeCell ref="B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5.13"/>
    <col customWidth="1" min="7" max="7" width="21.13"/>
  </cols>
  <sheetData>
    <row r="1" ht="36.75" customHeight="1">
      <c r="B1" s="38" t="s">
        <v>1877</v>
      </c>
    </row>
    <row r="2" ht="28.5" customHeight="1">
      <c r="B2" s="39" t="s">
        <v>1</v>
      </c>
      <c r="C2" s="39" t="s">
        <v>2</v>
      </c>
      <c r="D2" s="40" t="s">
        <v>3</v>
      </c>
      <c r="E2" s="39" t="s">
        <v>1878</v>
      </c>
      <c r="F2" s="39" t="s">
        <v>5</v>
      </c>
      <c r="G2" s="39" t="s">
        <v>6</v>
      </c>
    </row>
    <row r="3">
      <c r="B3" s="41" t="s">
        <v>7</v>
      </c>
    </row>
    <row r="4">
      <c r="B4" s="41" t="s">
        <v>10</v>
      </c>
    </row>
    <row r="5">
      <c r="B5" s="41" t="s">
        <v>13</v>
      </c>
    </row>
    <row r="6">
      <c r="B6" s="41" t="s">
        <v>16</v>
      </c>
    </row>
    <row r="7">
      <c r="B7" s="41" t="s">
        <v>18</v>
      </c>
    </row>
    <row r="8">
      <c r="B8" s="41" t="s">
        <v>1879</v>
      </c>
    </row>
    <row r="9">
      <c r="B9" s="41" t="s">
        <v>24</v>
      </c>
    </row>
    <row r="10">
      <c r="B10" s="41" t="s">
        <v>27</v>
      </c>
    </row>
    <row r="11">
      <c r="B11" s="41" t="s">
        <v>30</v>
      </c>
    </row>
    <row r="12">
      <c r="B12" s="41" t="s">
        <v>33</v>
      </c>
    </row>
    <row r="13">
      <c r="B13" s="42" t="s">
        <v>36</v>
      </c>
    </row>
  </sheetData>
  <mergeCells count="1">
    <mergeCell ref="B1:G1"/>
  </mergeCells>
  <dataValidations>
    <dataValidation type="list" allowBlank="1" showErrorMessage="1" sqref="B4">
      <formula1>"CAD-50-Simple,Opción 2"</formula1>
    </dataValidation>
    <dataValidation type="list" allowBlank="1" showErrorMessage="1" sqref="B6">
      <formula1>"CAD-50 Doble,Opción 2"</formula1>
    </dataValidation>
    <dataValidation type="list" allowBlank="1" showErrorMessage="1" sqref="B5">
      <formula1>"CAD-S55,Opción 2"</formula1>
    </dataValidation>
    <dataValidation type="list" allowBlank="1" showErrorMessage="1" sqref="B9">
      <formula1>"CAD-S60 Simple,Opción 2"</formula1>
    </dataValidation>
    <dataValidation type="list" allowBlank="1" showErrorMessage="1" sqref="B12">
      <formula1>"CAD- 06-Simple,Opción 2"</formula1>
    </dataValidation>
    <dataValidation type="list" allowBlank="1" showErrorMessage="1" sqref="B10">
      <formula1>"CAD-ASA80X2,Opción 2"</formula1>
    </dataValidation>
    <dataValidation type="list" allowBlank="1" showErrorMessage="1" sqref="B7">
      <formula1>"CAD-SS50,Opción 2"</formula1>
    </dataValidation>
    <dataValidation type="list" allowBlank="1" showErrorMessage="1" sqref="B8">
      <formula1>"CAD-S6O Doble,Opción 2"</formula1>
    </dataValidation>
    <dataValidation type="list" allowBlank="1" showErrorMessage="1" sqref="B11">
      <formula1>"CAD-06B-2,Opción 2"</formula1>
    </dataValidation>
    <dataValidation type="list" allowBlank="1" showErrorMessage="1" sqref="B3">
      <formula1>"CAD-40-Simple"</formula1>
    </dataValidation>
    <dataValidation type="list" allowBlank="1" showErrorMessage="1" sqref="B13">
      <formula1>"Medio Union Cad 06B1 (simple),Opción 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2.75"/>
    <col customWidth="1" min="3" max="3" width="48.63"/>
    <col customWidth="1" min="4" max="4" width="10.63"/>
    <col customWidth="1" min="5" max="5" width="14.25"/>
    <col customWidth="1" min="6" max="6" width="16.25"/>
  </cols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38.25" customHeight="1">
      <c r="A2" s="43"/>
      <c r="B2" s="44" t="s">
        <v>1</v>
      </c>
      <c r="C2" s="45" t="s">
        <v>1880</v>
      </c>
      <c r="D2" s="45" t="s">
        <v>1881</v>
      </c>
      <c r="E2" s="45" t="s">
        <v>1882</v>
      </c>
      <c r="F2" s="46" t="s">
        <v>1883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3"/>
      <c r="B3" s="47"/>
      <c r="C3" s="48"/>
      <c r="D3" s="49"/>
      <c r="E3" s="50"/>
      <c r="F3" s="51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52" t="s">
        <v>1884</v>
      </c>
      <c r="C4" s="53" t="str">
        <f>IFERROR(VLOOKUP(B4 ,INVENTARIO!$B$2:C994,2,0),"")</f>
        <v/>
      </c>
      <c r="D4" s="54">
        <v>2.5</v>
      </c>
      <c r="E4" s="55"/>
      <c r="F4" s="56">
        <f t="shared" ref="F4:F994" si="1">IFS(B4="","",F4&lt;&gt;"",F4,TRUE,NOW())</f>
        <v>45659.5796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57" t="s">
        <v>13</v>
      </c>
      <c r="C5" s="58" t="str">
        <f>IFERROR(VLOOKUP(B5 ,INVENTARIO!$B$2:C994,2,0),"")</f>
        <v>ASA S55 simple</v>
      </c>
      <c r="D5" s="59">
        <v>1.5</v>
      </c>
      <c r="E5" s="60"/>
      <c r="F5" s="61">
        <f t="shared" si="1"/>
        <v>45659.58037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57" t="s">
        <v>16</v>
      </c>
      <c r="C6" s="58" t="str">
        <f>IFERROR(VLOOKUP(B6 ,INVENTARIO!$B$2:C994,2,0),"")</f>
        <v>ASA 50 doble</v>
      </c>
      <c r="D6" s="59">
        <v>8.7</v>
      </c>
      <c r="E6" s="60"/>
      <c r="F6" s="61">
        <f t="shared" si="1"/>
        <v>45659.58243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57" t="s">
        <v>18</v>
      </c>
      <c r="C7" s="58" t="str">
        <f>IFERROR(VLOOKUP(B7 ,INVENTARIO!$B$2:C994,2,0),"")</f>
        <v>ASA 50 simple inoxidable</v>
      </c>
      <c r="D7" s="59">
        <v>0.6</v>
      </c>
      <c r="E7" s="60"/>
      <c r="F7" s="61">
        <f t="shared" si="1"/>
        <v>45659.58282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57" t="s">
        <v>21</v>
      </c>
      <c r="C8" s="58" t="str">
        <f>IFERROR(VLOOKUP(B8 ,INVENTARIO!$B$2:C994,2,0),"")</f>
        <v>ASA 60 DOBLE</v>
      </c>
      <c r="D8" s="59">
        <v>9.8</v>
      </c>
      <c r="E8" s="60"/>
      <c r="F8" s="61">
        <f t="shared" si="1"/>
        <v>45660.47004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57" t="s">
        <v>1885</v>
      </c>
      <c r="C9" s="58" t="str">
        <f>IFERROR(VLOOKUP(B9 ,INVENTARIO!$B$2:C994,2,0),"")</f>
        <v/>
      </c>
      <c r="D9" s="59">
        <v>10.0</v>
      </c>
      <c r="E9" s="60"/>
      <c r="F9" s="61">
        <f t="shared" si="1"/>
        <v>45660.47145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57" t="s">
        <v>1886</v>
      </c>
      <c r="C10" s="58" t="str">
        <f>IFERROR(VLOOKUP(B10 ,INVENTARIO!$B$2:C994,2,0),"")</f>
        <v/>
      </c>
      <c r="D10" s="59">
        <v>3.86</v>
      </c>
      <c r="E10" s="60"/>
      <c r="F10" s="61">
        <f t="shared" si="1"/>
        <v>45660.47218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57" t="s">
        <v>7</v>
      </c>
      <c r="C11" s="58" t="str">
        <f>IFERROR(VLOOKUP(B11 ,INVENTARIO!$B$2:C994,2,0),"")</f>
        <v>ASA 40 simple</v>
      </c>
      <c r="D11" s="59">
        <v>4.65</v>
      </c>
      <c r="E11" s="60"/>
      <c r="F11" s="61">
        <f t="shared" si="1"/>
        <v>45660.47275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57" t="s">
        <v>662</v>
      </c>
      <c r="C12" s="58" t="str">
        <f>IFERROR(VLOOKUP(B12 ,INVENTARIO!$B$2:C994,2,0),"")</f>
        <v>400X2500mm x2</v>
      </c>
      <c r="D12" s="59">
        <v>5.0</v>
      </c>
      <c r="E12" s="60"/>
      <c r="F12" s="61">
        <f t="shared" si="1"/>
        <v>45660.47525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3"/>
      <c r="B13" s="57" t="s">
        <v>39</v>
      </c>
      <c r="C13" s="58" t="str">
        <f>IFERROR(VLOOKUP(B13 ,INVENTARIO!$B$2:C994,2,0),"")</f>
        <v>Union 06B1</v>
      </c>
      <c r="D13" s="59">
        <v>7.0</v>
      </c>
      <c r="E13" s="60"/>
      <c r="F13" s="61">
        <f t="shared" si="1"/>
        <v>45660.63473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3"/>
      <c r="B14" s="57" t="s">
        <v>41</v>
      </c>
      <c r="C14" s="58" t="str">
        <f>IFERROR(VLOOKUP(B14 ,INVENTARIO!$B$2:C994,2,0),"")</f>
        <v>Union 06B2</v>
      </c>
      <c r="D14" s="59">
        <v>16.0</v>
      </c>
      <c r="E14" s="60"/>
      <c r="F14" s="61">
        <f t="shared" si="1"/>
        <v>45660.63503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3"/>
      <c r="B15" s="57" t="s">
        <v>44</v>
      </c>
      <c r="C15" s="58" t="str">
        <f>IFERROR(VLOOKUP(B15 ,INVENTARIO!$B$2:C994,2,0),"")</f>
        <v>Medio eslabon</v>
      </c>
      <c r="D15" s="59">
        <v>8.0</v>
      </c>
      <c r="E15" s="60"/>
      <c r="F15" s="61">
        <f t="shared" si="1"/>
        <v>45660.63648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3"/>
      <c r="B16" s="57" t="s">
        <v>49</v>
      </c>
      <c r="C16" s="58" t="str">
        <f>IFERROR(VLOOKUP(B16 ,INVENTARIO!$B$2:C994,2,0),"")</f>
        <v>Union cadena ASA 40 con ALETA LATERAL</v>
      </c>
      <c r="D16" s="59">
        <v>23.0</v>
      </c>
      <c r="E16" s="60"/>
      <c r="F16" s="61">
        <f t="shared" si="1"/>
        <v>45660.63701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3"/>
      <c r="B17" s="57" t="s">
        <v>52</v>
      </c>
      <c r="C17" s="58" t="str">
        <f>IFERROR(VLOOKUP(B17 ,INVENTARIO!$B$2:C994,2,0),"")</f>
        <v>Medio eslabon</v>
      </c>
      <c r="D17" s="59">
        <v>14.0</v>
      </c>
      <c r="E17" s="60"/>
      <c r="F17" s="61">
        <f t="shared" si="1"/>
        <v>45660.63755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3"/>
      <c r="B18" s="57" t="s">
        <v>53</v>
      </c>
      <c r="C18" s="58" t="str">
        <f>IFERROR(VLOOKUP(B18 ,INVENTARIO!$B$2:C994,2,0),"")</f>
        <v>Union cad 50 simple</v>
      </c>
      <c r="D18" s="59">
        <v>7.0</v>
      </c>
      <c r="E18" s="60"/>
      <c r="F18" s="61">
        <f t="shared" si="1"/>
        <v>45660.63813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3"/>
      <c r="B19" s="57" t="s">
        <v>1887</v>
      </c>
      <c r="C19" s="58" t="str">
        <f>IFERROR(VLOOKUP(B19 ,INVENTARIO!$B$2:C994,2,0),"")</f>
        <v/>
      </c>
      <c r="D19" s="59">
        <v>13.0</v>
      </c>
      <c r="E19" s="60"/>
      <c r="F19" s="61">
        <f t="shared" si="1"/>
        <v>45660.63889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3"/>
      <c r="B20" s="57" t="s">
        <v>1888</v>
      </c>
      <c r="C20" s="58" t="str">
        <f>IFERROR(VLOOKUP(B20 ,INVENTARIO!$B$2:C994,2,0),"")</f>
        <v/>
      </c>
      <c r="D20" s="59">
        <v>27.0</v>
      </c>
      <c r="E20" s="60"/>
      <c r="F20" s="61">
        <f t="shared" si="1"/>
        <v>45660.63929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3"/>
      <c r="B21" s="57" t="s">
        <v>1886</v>
      </c>
      <c r="C21" s="58" t="str">
        <f>IFERROR(VLOOKUP(B21 ,INVENTARIO!$B$2:C994,2,0),"")</f>
        <v/>
      </c>
      <c r="D21" s="59">
        <v>12.0</v>
      </c>
      <c r="E21" s="60"/>
      <c r="F21" s="61">
        <f t="shared" si="1"/>
        <v>45660.6396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3"/>
      <c r="B22" s="57" t="s">
        <v>67</v>
      </c>
      <c r="C22" s="58" t="str">
        <f>IFERROR(VLOOKUP(B22 ,INVENTARIO!$B$2:C994,2,0),"")</f>
        <v>Cadena ASA 120 Doble</v>
      </c>
      <c r="D22" s="59">
        <v>1.0</v>
      </c>
      <c r="E22" s="60"/>
      <c r="F22" s="61">
        <f t="shared" si="1"/>
        <v>45660.64017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3"/>
      <c r="B23" s="57" t="s">
        <v>70</v>
      </c>
      <c r="C23" s="58" t="str">
        <f>IFERROR(VLOOKUP(B23 ,INVENTARIO!$B$2:C994,2,0),"")</f>
        <v> Medio Eslabon Cadena ASA 120 Doble</v>
      </c>
      <c r="D23" s="59">
        <v>1.0</v>
      </c>
      <c r="E23" s="60"/>
      <c r="F23" s="61">
        <f t="shared" si="1"/>
        <v>45660.64089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3"/>
      <c r="B24" s="57" t="s">
        <v>77</v>
      </c>
      <c r="C24" s="58" t="str">
        <f>IFERROR(VLOOKUP(B24 ,INVENTARIO!$B$2:C994,2,0),"")</f>
        <v>S55 medio eslabon</v>
      </c>
      <c r="D24" s="59">
        <v>4.0</v>
      </c>
      <c r="E24" s="60"/>
      <c r="F24" s="61">
        <f t="shared" si="1"/>
        <v>45660.64159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3"/>
      <c r="B25" s="57" t="s">
        <v>80</v>
      </c>
      <c r="C25" s="58" t="str">
        <f>IFERROR(VLOOKUP(B25 ,INVENTARIO!$B$2:C994,2,0),"")</f>
        <v>Pernos Para Bandejas Estibador</v>
      </c>
      <c r="D25" s="59">
        <v>6.0</v>
      </c>
      <c r="E25" s="60"/>
      <c r="F25" s="61">
        <f t="shared" si="1"/>
        <v>45660.64193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3"/>
      <c r="B26" s="57" t="s">
        <v>83</v>
      </c>
      <c r="C26" s="58" t="str">
        <f>IFERROR(VLOOKUP(B26 ,INVENTARIO!$B$2:C994,2,0),"")</f>
        <v>CF 1 1/8 S</v>
      </c>
      <c r="D26" s="59">
        <v>4.0</v>
      </c>
      <c r="E26" s="60"/>
      <c r="F26" s="61">
        <f t="shared" si="1"/>
        <v>45660.64216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57" t="s">
        <v>86</v>
      </c>
      <c r="C27" s="58" t="str">
        <f>IFERROR(VLOOKUP(B27 ,INVENTARIO!$B$2:C994,2,0),"")</f>
        <v>UCT208</v>
      </c>
      <c r="D27" s="59">
        <v>2.0</v>
      </c>
      <c r="E27" s="60"/>
      <c r="F27" s="61">
        <f t="shared" si="1"/>
        <v>45660.64254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57" t="s">
        <v>89</v>
      </c>
      <c r="C28" s="58" t="str">
        <f>IFERROR(VLOOKUP(B28 ,INVENTARIO!$B$2:C994,2,0),"")</f>
        <v>GY1103KRRB3</v>
      </c>
      <c r="D28" s="59">
        <v>2.0</v>
      </c>
      <c r="E28" s="60"/>
      <c r="F28" s="61">
        <f t="shared" si="1"/>
        <v>45660.64297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57" t="s">
        <v>91</v>
      </c>
      <c r="C29" s="58" t="str">
        <f>IFERROR(VLOOKUP(B29 ,INVENTARIO!$B$2:C994,2,0),"")</f>
        <v>UL211-200</v>
      </c>
      <c r="D29" s="59">
        <v>3.0</v>
      </c>
      <c r="E29" s="60"/>
      <c r="F29" s="61">
        <f t="shared" si="1"/>
        <v>45660.68546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57" t="s">
        <v>93</v>
      </c>
      <c r="C30" s="58" t="str">
        <f>IFERROR(VLOOKUP(B30 ,INVENTARIO!$B$2:C994,2,0),"")</f>
        <v>UC203</v>
      </c>
      <c r="D30" s="59">
        <v>7.0</v>
      </c>
      <c r="E30" s="60"/>
      <c r="F30" s="61">
        <f t="shared" si="1"/>
        <v>45660.68596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57" t="s">
        <v>95</v>
      </c>
      <c r="C31" s="58" t="str">
        <f>IFERROR(VLOOKUP(B31 ,INVENTARIO!$B$2:C994,2,0),"")</f>
        <v>UC206-20 EJE 31,74</v>
      </c>
      <c r="D31" s="59">
        <v>20.0</v>
      </c>
      <c r="E31" s="60"/>
      <c r="F31" s="61">
        <f t="shared" si="1"/>
        <v>45660.68624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57" t="s">
        <v>97</v>
      </c>
      <c r="C32" s="58" t="str">
        <f>IFERROR(VLOOKUP(B32 ,INVENTARIO!$B$2:C994,2,0),"")</f>
        <v>UC206-EJE 30</v>
      </c>
      <c r="D32" s="62">
        <v>13.0</v>
      </c>
      <c r="E32" s="60"/>
      <c r="F32" s="61">
        <f t="shared" si="1"/>
        <v>45660.68644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57" t="s">
        <v>100</v>
      </c>
      <c r="C33" s="58" t="str">
        <f>IFERROR(VLOOKUP(B33 ,INVENTARIO!$B$2:C994,2,0),"")</f>
        <v>UC206-104D1</v>
      </c>
      <c r="D33" s="59">
        <v>5.0</v>
      </c>
      <c r="E33" s="60"/>
      <c r="F33" s="61">
        <f t="shared" si="1"/>
        <v>45660.68682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57" t="s">
        <v>102</v>
      </c>
      <c r="C34" s="58" t="str">
        <f>IFERROR(VLOOKUP(B34 ,INVENTARIO!$B$2:C994,2,0),"")</f>
        <v>AEL206-104D1</v>
      </c>
      <c r="D34" s="59">
        <v>4.0</v>
      </c>
      <c r="E34" s="60"/>
      <c r="F34" s="61">
        <f t="shared" si="1"/>
        <v>45661.57571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57" t="s">
        <v>104</v>
      </c>
      <c r="C35" s="58" t="str">
        <f>IFERROR(VLOOKUP(B35 ,INVENTARIO!$B$2:C994,2,0),"")</f>
        <v>UC206G</v>
      </c>
      <c r="D35" s="59">
        <v>4.0</v>
      </c>
      <c r="E35" s="60"/>
      <c r="F35" s="61">
        <f t="shared" si="1"/>
        <v>45661.57589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57" t="s">
        <v>110</v>
      </c>
      <c r="C36" s="58" t="str">
        <f>IFERROR(VLOOKUP(B36 ,INVENTARIO!$B$2:C994,2,0),"")</f>
        <v>UC204D1</v>
      </c>
      <c r="D36" s="59">
        <v>2.0</v>
      </c>
      <c r="E36" s="60"/>
      <c r="F36" s="61">
        <f t="shared" si="1"/>
        <v>45661.5761</v>
      </c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57" t="s">
        <v>112</v>
      </c>
      <c r="C37" s="58" t="str">
        <f>IFERROR(VLOOKUP(B37 ,INVENTARIO!$B$2:C994,2,0),"")</f>
        <v>AS204D1</v>
      </c>
      <c r="D37" s="59">
        <v>2.0</v>
      </c>
      <c r="E37" s="60"/>
      <c r="F37" s="61">
        <f t="shared" si="1"/>
        <v>45661.57733</v>
      </c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57" t="s">
        <v>93</v>
      </c>
      <c r="C38" s="58" t="str">
        <f>IFERROR(VLOOKUP(B38 ,INVENTARIO!$B$2:C994,2,0),"")</f>
        <v>UC203</v>
      </c>
      <c r="D38" s="59">
        <v>2.0</v>
      </c>
      <c r="E38" s="60"/>
      <c r="F38" s="61">
        <f t="shared" si="1"/>
        <v>45661.57753</v>
      </c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57" t="s">
        <v>114</v>
      </c>
      <c r="C39" s="58" t="str">
        <f>IFERROR(VLOOKUP(B39 ,INVENTARIO!$B$2:C994,2,0),"")</f>
        <v>UC202-010D1</v>
      </c>
      <c r="D39" s="59">
        <v>10.0</v>
      </c>
      <c r="E39" s="60"/>
      <c r="F39" s="61">
        <f t="shared" si="1"/>
        <v>45661.5777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57" t="s">
        <v>116</v>
      </c>
      <c r="C40" s="58" t="str">
        <f>IFERROR(VLOOKUP(B40 ,INVENTARIO!$B$2:C994,2,0),"")</f>
        <v>UC211-200D1</v>
      </c>
      <c r="D40" s="59">
        <v>6.0</v>
      </c>
      <c r="E40" s="60"/>
      <c r="F40" s="61">
        <f t="shared" si="1"/>
        <v>45661.57882</v>
      </c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57" t="s">
        <v>119</v>
      </c>
      <c r="C41" s="58" t="str">
        <f>IFERROR(VLOOKUP(B41 ,INVENTARIO!$B$2:C994,2,0),"")</f>
        <v>UC212D1</v>
      </c>
      <c r="D41" s="59">
        <v>2.0</v>
      </c>
      <c r="E41" s="60"/>
      <c r="F41" s="61">
        <f t="shared" si="1"/>
        <v>45661.57914</v>
      </c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57" t="s">
        <v>122</v>
      </c>
      <c r="C42" s="58" t="str">
        <f>IFERROR(VLOOKUP(B42 ,INVENTARIO!$B$2:C994,2,0),"")</f>
        <v>UC205</v>
      </c>
      <c r="D42" s="59">
        <v>1.0</v>
      </c>
      <c r="E42" s="60"/>
      <c r="F42" s="61">
        <f t="shared" si="1"/>
        <v>45661.57933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57" t="s">
        <v>125</v>
      </c>
      <c r="C43" s="58" t="str">
        <f>IFERROR(VLOOKUP(B43 ,INVENTARIO!$B$2:C994,2,0),"")</f>
        <v>UC208-40MM</v>
      </c>
      <c r="D43" s="59">
        <v>4.0</v>
      </c>
      <c r="E43" s="60"/>
      <c r="F43" s="61">
        <f t="shared" si="1"/>
        <v>45661.57949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57" t="s">
        <v>128</v>
      </c>
      <c r="C44" s="58" t="str">
        <f>IFERROR(VLOOKUP(B44 ,INVENTARIO!$B$2:C994,2,0),"")</f>
        <v>UC214D1</v>
      </c>
      <c r="D44" s="59">
        <v>2.0</v>
      </c>
      <c r="E44" s="60"/>
      <c r="F44" s="61">
        <f t="shared" si="1"/>
        <v>45661.57963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57" t="s">
        <v>131</v>
      </c>
      <c r="C45" s="58" t="str">
        <f>IFERROR(VLOOKUP(B45 ,INVENTARIO!$B$2:C994,2,0),"")</f>
        <v>UC209</v>
      </c>
      <c r="D45" s="59">
        <v>2.0</v>
      </c>
      <c r="E45" s="60"/>
      <c r="F45" s="61">
        <f t="shared" si="1"/>
        <v>45661.57976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57" t="s">
        <v>134</v>
      </c>
      <c r="C46" s="58" t="str">
        <f>IFERROR(VLOOKUP(B46 ,INVENTARIO!$B$2:C994,2,0),"")</f>
        <v>NK16/20R</v>
      </c>
      <c r="D46" s="59">
        <v>2.0</v>
      </c>
      <c r="E46" s="60"/>
      <c r="F46" s="61">
        <f t="shared" si="1"/>
        <v>45661.57996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57" t="s">
        <v>112</v>
      </c>
      <c r="C47" s="58" t="str">
        <f>IFERROR(VLOOKUP(B47 ,INVENTARIO!$B$2:C994,2,0),"")</f>
        <v>AS204D1</v>
      </c>
      <c r="D47" s="59">
        <v>2.0</v>
      </c>
      <c r="E47" s="60"/>
      <c r="F47" s="61">
        <f t="shared" si="1"/>
        <v>45661.58073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57" t="s">
        <v>138</v>
      </c>
      <c r="C48" s="58" t="str">
        <f>IFERROR(VLOOKUP(B48 ,INVENTARIO!$B$2:C994,2,0),"")</f>
        <v>AS206-104</v>
      </c>
      <c r="D48" s="59">
        <v>1.0</v>
      </c>
      <c r="E48" s="60"/>
      <c r="F48" s="61">
        <f t="shared" si="1"/>
        <v>45661.58104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57" t="s">
        <v>140</v>
      </c>
      <c r="C49" s="58" t="str">
        <f>IFERROR(VLOOKUP(B49 ,INVENTARIO!$B$2:C994,2,0),"")</f>
        <v>GYE20KRRB</v>
      </c>
      <c r="D49" s="59">
        <v>2.0</v>
      </c>
      <c r="E49" s="60"/>
      <c r="F49" s="61">
        <f t="shared" si="1"/>
        <v>45661.58119</v>
      </c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57" t="s">
        <v>142</v>
      </c>
      <c r="C50" s="58" t="str">
        <f>IFERROR(VLOOKUP(B50 ,INVENTARIO!$B$2:C994,2,0),"")</f>
        <v>YEL206</v>
      </c>
      <c r="D50" s="59">
        <v>1.0</v>
      </c>
      <c r="E50" s="60"/>
      <c r="F50" s="61">
        <f t="shared" si="1"/>
        <v>45661.58135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57" t="s">
        <v>144</v>
      </c>
      <c r="C51" s="58" t="str">
        <f>IFERROR(VLOOKUP(B51 ,INVENTARIO!$B$2:C994,2,0),"")</f>
        <v>YET206-103</v>
      </c>
      <c r="D51" s="59">
        <v>5.0</v>
      </c>
      <c r="E51" s="60"/>
      <c r="F51" s="61">
        <f t="shared" si="1"/>
        <v>45661.5815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57" t="s">
        <v>147</v>
      </c>
      <c r="C52" s="58" t="str">
        <f>IFERROR(VLOOKUP(B52 ,INVENTARIO!$B$2:C994,2,0),"")</f>
        <v>YET202-010</v>
      </c>
      <c r="D52" s="59">
        <v>5.0</v>
      </c>
      <c r="E52" s="60"/>
      <c r="F52" s="61">
        <f t="shared" si="1"/>
        <v>45661.58168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57" t="s">
        <v>149</v>
      </c>
      <c r="C53" s="58" t="str">
        <f>IFERROR(VLOOKUP(B53 ,INVENTARIO!$B$2:C994,2,0),"")</f>
        <v>UEL211-200</v>
      </c>
      <c r="D53" s="59">
        <v>2.0</v>
      </c>
      <c r="E53" s="60"/>
      <c r="F53" s="61">
        <f t="shared" si="1"/>
        <v>45661.58187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57" t="s">
        <v>151</v>
      </c>
      <c r="C54" s="58" t="str">
        <f>IFERROR(VLOOKUP(B54 ,INVENTARIO!$B$2:C994,2,0),"")</f>
        <v>NA206</v>
      </c>
      <c r="D54" s="59">
        <v>4.0</v>
      </c>
      <c r="E54" s="60"/>
      <c r="F54" s="61">
        <f t="shared" si="1"/>
        <v>45661.58202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57" t="s">
        <v>153</v>
      </c>
      <c r="C55" s="58" t="str">
        <f>IFERROR(VLOOKUP(B55 ,INVENTARIO!$B$2:C994,2,0),"")</f>
        <v>UCP203D1</v>
      </c>
      <c r="D55" s="59">
        <v>4.0</v>
      </c>
      <c r="E55" s="60"/>
      <c r="F55" s="61">
        <f t="shared" si="1"/>
        <v>45661.58262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57" t="s">
        <v>155</v>
      </c>
      <c r="C56" s="58" t="str">
        <f>IFERROR(VLOOKUP(B56 ,INVENTARIO!$B$2:C994,2,0),"")</f>
        <v>UCP214D1</v>
      </c>
      <c r="D56" s="59">
        <v>2.0</v>
      </c>
      <c r="E56" s="60"/>
      <c r="F56" s="61">
        <f t="shared" si="1"/>
        <v>45661.58278</v>
      </c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57" t="s">
        <v>158</v>
      </c>
      <c r="C57" s="58" t="str">
        <f>IFERROR(VLOOKUP(B57 ,INVENTARIO!$B$2:C994,2,0),"")</f>
        <v>H309</v>
      </c>
      <c r="D57" s="59">
        <v>2.0</v>
      </c>
      <c r="E57" s="60"/>
      <c r="F57" s="61">
        <f t="shared" si="1"/>
        <v>45661.58297</v>
      </c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57" t="s">
        <v>161</v>
      </c>
      <c r="C58" s="58" t="str">
        <f>IFERROR(VLOOKUP(B58 ,INVENTARIO!$B$2:C994,2,0),"")</f>
        <v>H309 USADO</v>
      </c>
      <c r="D58" s="59">
        <v>1.0</v>
      </c>
      <c r="E58" s="60"/>
      <c r="F58" s="61">
        <f t="shared" si="1"/>
        <v>45661.58322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57" t="s">
        <v>163</v>
      </c>
      <c r="C59" s="58" t="str">
        <f>IFERROR(VLOOKUP(B59 ,INVENTARIO!$B$2:C994,2,0),"")</f>
        <v>SET328</v>
      </c>
      <c r="D59" s="59">
        <v>2.0</v>
      </c>
      <c r="E59" s="60"/>
      <c r="F59" s="61">
        <f t="shared" si="1"/>
        <v>45661.58374</v>
      </c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57" t="s">
        <v>1889</v>
      </c>
      <c r="C60" s="58" t="str">
        <f>IFERROR(VLOOKUP(B60 ,INVENTARIO!$B$2:C994,2,0),"")</f>
        <v/>
      </c>
      <c r="D60" s="59">
        <v>9.0</v>
      </c>
      <c r="E60" s="60"/>
      <c r="F60" s="61">
        <f t="shared" si="1"/>
        <v>45663.58078</v>
      </c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57" t="s">
        <v>1890</v>
      </c>
      <c r="C61" s="58" t="str">
        <f>IFERROR(VLOOKUP(B61 ,INVENTARIO!$B$2:C994,2,0),"")</f>
        <v/>
      </c>
      <c r="D61" s="59">
        <v>1.0</v>
      </c>
      <c r="E61" s="60"/>
      <c r="F61" s="61">
        <f t="shared" si="1"/>
        <v>45663.58125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57" t="s">
        <v>170</v>
      </c>
      <c r="C62" s="58" t="str">
        <f>IFERROR(VLOOKUP(B62 ,INVENTARIO!$B$2:C994,2,0),"")</f>
        <v>32007A</v>
      </c>
      <c r="D62" s="59">
        <v>7.0</v>
      </c>
      <c r="E62" s="60"/>
      <c r="F62" s="61">
        <f t="shared" si="1"/>
        <v>45663.58242</v>
      </c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57" t="s">
        <v>172</v>
      </c>
      <c r="C63" s="58" t="str">
        <f>IFERROR(VLOOKUP(B63 ,INVENTARIO!$B$2:C994,2,0),"")</f>
        <v>32007X 4T-3007X</v>
      </c>
      <c r="D63" s="59">
        <v>2.0</v>
      </c>
      <c r="E63" s="60"/>
      <c r="F63" s="61">
        <f t="shared" si="1"/>
        <v>45663.58263</v>
      </c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57" t="s">
        <v>175</v>
      </c>
      <c r="C64" s="58" t="str">
        <f>IFERROR(VLOOKUP(B64 ,INVENTARIO!$B$2:C994,2,0),"")</f>
        <v/>
      </c>
      <c r="D64" s="59">
        <v>2.0</v>
      </c>
      <c r="E64" s="60"/>
      <c r="F64" s="61">
        <f t="shared" si="1"/>
        <v>45663.58283</v>
      </c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57" t="s">
        <v>176</v>
      </c>
      <c r="C65" s="58" t="str">
        <f>IFERROR(VLOOKUP(B65 ,INVENTARIO!$B$2:C994,2,0),"")</f>
        <v/>
      </c>
      <c r="D65" s="59">
        <v>6.0</v>
      </c>
      <c r="E65" s="60"/>
      <c r="F65" s="61">
        <f t="shared" si="1"/>
        <v>45663.58304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57" t="s">
        <v>180</v>
      </c>
      <c r="C66" s="58" t="str">
        <f>IFERROR(VLOOKUP(B66 ,INVENTARIO!$B$2:C994,2,0),"")</f>
        <v>1212 doble bolilla cilindrico</v>
      </c>
      <c r="D66" s="59">
        <v>6.0</v>
      </c>
      <c r="E66" s="60"/>
      <c r="F66" s="61">
        <f t="shared" si="1"/>
        <v>45663.58326</v>
      </c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57" t="s">
        <v>182</v>
      </c>
      <c r="C67" s="58" t="str">
        <f>IFERROR(VLOOKUP(B67 ,INVENTARIO!$B$2:C994,2,0),"")</f>
        <v>32017 X</v>
      </c>
      <c r="D67" s="59">
        <v>1.0</v>
      </c>
      <c r="E67" s="60"/>
      <c r="F67" s="61">
        <f t="shared" si="1"/>
        <v>45663.58355</v>
      </c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57" t="s">
        <v>184</v>
      </c>
      <c r="C68" s="58" t="str">
        <f>IFERROR(VLOOKUP(B68 ,INVENTARIO!$B$2:C994,2,0),"")</f>
        <v>30212-KML</v>
      </c>
      <c r="D68" s="59">
        <v>9.0</v>
      </c>
      <c r="E68" s="60"/>
      <c r="F68" s="61">
        <f t="shared" si="1"/>
        <v>45663.58377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57" t="s">
        <v>186</v>
      </c>
      <c r="C69" s="58" t="str">
        <f>IFERROR(VLOOKUP(B69 ,INVENTARIO!$B$2:C994,2,0),"")</f>
        <v>30204 4T-30204</v>
      </c>
      <c r="D69" s="59">
        <v>6.0</v>
      </c>
      <c r="E69" s="60"/>
      <c r="F69" s="61">
        <f t="shared" si="1"/>
        <v>45663.58395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57" t="s">
        <v>188</v>
      </c>
      <c r="C70" s="58" t="str">
        <f>IFERROR(VLOOKUP(B70 ,INVENTARIO!$B$2:C994,2,0),"")</f>
        <v>5205SCZZ/2AS</v>
      </c>
      <c r="D70" s="59">
        <v>1.0</v>
      </c>
      <c r="E70" s="60"/>
      <c r="F70" s="61">
        <f t="shared" si="1"/>
        <v>45663.58408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57" t="s">
        <v>191</v>
      </c>
      <c r="C71" s="58" t="str">
        <f>IFERROR(VLOOKUP(B71 ,INVENTARIO!$B$2:C994,2,0),"")</f>
        <v>1604DCTNTG18</v>
      </c>
      <c r="D71" s="59">
        <v>7.0</v>
      </c>
      <c r="E71" s="60"/>
      <c r="F71" s="61">
        <f t="shared" si="1"/>
        <v>45663.5843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57" t="s">
        <v>193</v>
      </c>
      <c r="C72" s="58" t="str">
        <f>IFERROR(VLOOKUP(B72 ,INVENTARIO!$B$2:C994,2,0),"")</f>
        <v>1621DCTNTG18</v>
      </c>
      <c r="D72" s="59">
        <v>16.0</v>
      </c>
      <c r="E72" s="60"/>
      <c r="F72" s="61">
        <f t="shared" si="1"/>
        <v>45663.58451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57" t="s">
        <v>195</v>
      </c>
      <c r="C73" s="58" t="str">
        <f>IFERROR(VLOOKUP(B73 ,INVENTARIO!$B$2:C994,2,0),"")</f>
        <v>1630 LLUU</v>
      </c>
      <c r="D73" s="59">
        <v>6.0</v>
      </c>
      <c r="E73" s="60"/>
      <c r="F73" s="61">
        <f t="shared" si="1"/>
        <v>45663.58473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57" t="s">
        <v>200</v>
      </c>
      <c r="C74" s="58" t="str">
        <f>IFERROR(VLOOKUP(B74 ,INVENTARIO!$B$2:C994,2,0),"")</f>
        <v>18X25X20</v>
      </c>
      <c r="D74" s="59">
        <v>4.0</v>
      </c>
      <c r="E74" s="60"/>
      <c r="F74" s="61">
        <f t="shared" si="1"/>
        <v>45663.5849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57" t="s">
        <v>206</v>
      </c>
      <c r="C75" s="58" t="str">
        <f>IFERROR(VLOOKUP(B75 ,INVENTARIO!$B$2:C994,2,0),"")</f>
        <v>1220ZKL</v>
      </c>
      <c r="D75" s="59">
        <v>2.0</v>
      </c>
      <c r="E75" s="60"/>
      <c r="F75" s="61">
        <f t="shared" si="1"/>
        <v>45663.5851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57" t="s">
        <v>209</v>
      </c>
      <c r="C76" s="58" t="str">
        <f>IFERROR(VLOOKUP(B76 ,INVENTARIO!$B$2:C994,2,0),"")</f>
        <v>R1581TV</v>
      </c>
      <c r="D76" s="59">
        <v>4.0</v>
      </c>
      <c r="E76" s="60"/>
      <c r="F76" s="61">
        <f t="shared" si="1"/>
        <v>45663.58527</v>
      </c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57" t="s">
        <v>323</v>
      </c>
      <c r="C77" s="58" t="str">
        <f>IFERROR(VLOOKUP(B77 ,INVENTARIO!$B$2:C994,2,0),"")</f>
        <v>6800LLU</v>
      </c>
      <c r="D77" s="59">
        <v>20.0</v>
      </c>
      <c r="E77" s="60"/>
      <c r="F77" s="61">
        <f t="shared" si="1"/>
        <v>45666.53282</v>
      </c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57" t="s">
        <v>209</v>
      </c>
      <c r="C78" s="58" t="str">
        <f>IFERROR(VLOOKUP(B78 ,INVENTARIO!$B$2:C994,2,0),"")</f>
        <v>R1581TV</v>
      </c>
      <c r="D78" s="59">
        <v>4.0</v>
      </c>
      <c r="E78" s="60"/>
      <c r="F78" s="61">
        <f t="shared" si="1"/>
        <v>45668.69137</v>
      </c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57" t="s">
        <v>212</v>
      </c>
      <c r="C79" s="58" t="str">
        <f>IFERROR(VLOOKUP(B79 ,INVENTARIO!$B$2:C994,2,0),"")</f>
        <v>4-387A-382A</v>
      </c>
      <c r="D79" s="59">
        <v>6.0</v>
      </c>
      <c r="E79" s="60"/>
      <c r="F79" s="61">
        <f t="shared" si="1"/>
        <v>45668.69176</v>
      </c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57" t="s">
        <v>214</v>
      </c>
      <c r="C80" s="58" t="str">
        <f>IFERROR(VLOOKUP(B80 ,INVENTARIO!$B$2:C994,2,0),"")</f>
        <v>Bancada de dos fijaciones para uc205</v>
      </c>
      <c r="D80" s="59">
        <v>2.0</v>
      </c>
      <c r="E80" s="60"/>
      <c r="F80" s="61">
        <f t="shared" si="1"/>
        <v>45670.47078</v>
      </c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57" t="s">
        <v>216</v>
      </c>
      <c r="C81" s="58" t="str">
        <f>IFERROR(VLOOKUP(B81 ,INVENTARIO!$B$2:C994,2,0),"")</f>
        <v>UCP211</v>
      </c>
      <c r="D81" s="59">
        <v>4.0</v>
      </c>
      <c r="E81" s="60"/>
      <c r="F81" s="61">
        <f t="shared" si="1"/>
        <v>45670.47094</v>
      </c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57" t="s">
        <v>218</v>
      </c>
      <c r="C82" s="58" t="str">
        <f>IFERROR(VLOOKUP(B82 ,INVENTARIO!$B$2:C994,2,0),"")</f>
        <v>UCP209</v>
      </c>
      <c r="D82" s="59">
        <v>3.0</v>
      </c>
      <c r="E82" s="60"/>
      <c r="F82" s="61">
        <f t="shared" si="1"/>
        <v>45670.47118</v>
      </c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57" t="s">
        <v>223</v>
      </c>
      <c r="C83" s="58" t="str">
        <f>IFERROR(VLOOKUP(B83 ,INVENTARIO!$B$2:C994,2,0),"")</f>
        <v>4T-382A</v>
      </c>
      <c r="D83" s="59">
        <v>21.0</v>
      </c>
      <c r="E83" s="60"/>
      <c r="F83" s="61">
        <f t="shared" si="1"/>
        <v>45670.47145</v>
      </c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57" t="s">
        <v>226</v>
      </c>
      <c r="C84" s="58" t="str">
        <f>IFERROR(VLOOKUP(B84 ,INVENTARIO!$B$2:C994,2,0),"")</f>
        <v>203KRR2</v>
      </c>
      <c r="D84" s="59">
        <v>1.0</v>
      </c>
      <c r="E84" s="60"/>
      <c r="F84" s="61">
        <f t="shared" si="1"/>
        <v>45670.47167</v>
      </c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57" t="s">
        <v>228</v>
      </c>
      <c r="C85" s="58" t="str">
        <f>IFERROR(VLOOKUP(B85 ,INVENTARIO!$B$2:C994,2,0),"")</f>
        <v>203KDD</v>
      </c>
      <c r="D85" s="59">
        <v>1.0</v>
      </c>
      <c r="E85" s="60"/>
      <c r="F85" s="61">
        <f t="shared" si="1"/>
        <v>45670.47185</v>
      </c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57" t="s">
        <v>236</v>
      </c>
      <c r="C86" s="58" t="str">
        <f>IFERROR(VLOOKUP(B86 ,INVENTARIO!$B$2:C994,2,0),"")</f>
        <v/>
      </c>
      <c r="D86" s="59">
        <v>10.0</v>
      </c>
      <c r="E86" s="60"/>
      <c r="F86" s="61">
        <f t="shared" si="1"/>
        <v>45670.47205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57" t="s">
        <v>237</v>
      </c>
      <c r="C87" s="58" t="str">
        <f>IFERROR(VLOOKUP(B87 ,INVENTARIO!$B$2:C994,2,0),"")</f>
        <v>63310LLU 63310LLU/2AS</v>
      </c>
      <c r="D87" s="59">
        <v>19.0</v>
      </c>
      <c r="E87" s="60"/>
      <c r="F87" s="61">
        <f t="shared" si="1"/>
        <v>45670.47223</v>
      </c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57" t="s">
        <v>239</v>
      </c>
      <c r="C88" s="58" t="str">
        <f>IFERROR(VLOOKUP(B88 ,INVENTARIO!$B$2:C994,2,0),"")</f>
        <v>6000LLUC3</v>
      </c>
      <c r="D88" s="59">
        <v>11.0</v>
      </c>
      <c r="E88" s="60"/>
      <c r="F88" s="61">
        <f t="shared" si="1"/>
        <v>45670.4724</v>
      </c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57" t="s">
        <v>244</v>
      </c>
      <c r="C89" s="58" t="str">
        <f>IFERROR(VLOOKUP(B89 ,INVENTARIO!$B$2:C994,2,0),"")</f>
        <v>6003 LLU/C3 - 17X35X10</v>
      </c>
      <c r="D89" s="59">
        <v>17.0</v>
      </c>
      <c r="E89" s="60"/>
      <c r="F89" s="61">
        <f t="shared" si="1"/>
        <v>45670.47261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57" t="s">
        <v>246</v>
      </c>
      <c r="C90" s="58" t="str">
        <f>IFERROR(VLOOKUP(B90 ,INVENTARIO!$B$2:C994,2,0),"")</f>
        <v/>
      </c>
      <c r="D90" s="59">
        <v>15.0</v>
      </c>
      <c r="E90" s="60"/>
      <c r="F90" s="61">
        <f t="shared" si="1"/>
        <v>45670.4728</v>
      </c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57" t="s">
        <v>248</v>
      </c>
      <c r="C91" s="58" t="str">
        <f>IFERROR(VLOOKUP(B91 ,INVENTARIO!$B$2:C994,2,0),"")</f>
        <v>6004-2RST/C3</v>
      </c>
      <c r="D91" s="59">
        <v>10.0</v>
      </c>
      <c r="E91" s="60"/>
      <c r="F91" s="61">
        <f t="shared" si="1"/>
        <v>45670.47297</v>
      </c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57" t="s">
        <v>1891</v>
      </c>
      <c r="C92" s="58" t="str">
        <f>IFERROR(VLOOKUP(B92 ,INVENTARIO!$B$2:C994,2,0),"")</f>
        <v/>
      </c>
      <c r="D92" s="59">
        <v>10.0</v>
      </c>
      <c r="E92" s="60"/>
      <c r="F92" s="61">
        <f t="shared" si="1"/>
        <v>45670.47359</v>
      </c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57" t="s">
        <v>253</v>
      </c>
      <c r="C93" s="58" t="str">
        <f>IFERROR(VLOOKUP(B93 ,INVENTARIO!$B$2:C994,2,0),"")</f>
        <v>6005LLUC3/ 6005LLUC3/2AS</v>
      </c>
      <c r="D93" s="59">
        <v>8.0</v>
      </c>
      <c r="E93" s="60"/>
      <c r="F93" s="61">
        <f t="shared" si="1"/>
        <v>45670.47376</v>
      </c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57" t="s">
        <v>255</v>
      </c>
      <c r="C94" s="58" t="str">
        <f>IFERROR(VLOOKUP(B94 ,INVENTARIO!$B$2:C994,2,0),"")</f>
        <v>6006-2RSC/3</v>
      </c>
      <c r="D94" s="59">
        <v>12.0</v>
      </c>
      <c r="E94" s="60"/>
      <c r="F94" s="61">
        <f t="shared" si="1"/>
        <v>45670.47395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57" t="s">
        <v>257</v>
      </c>
      <c r="C95" s="58" t="str">
        <f>IFERROR(VLOOKUP(B95 ,INVENTARIO!$B$2:C994,2,0),"")</f>
        <v>6007LLUC3 6007LLUC3/2AS</v>
      </c>
      <c r="D95" s="59">
        <v>10.0</v>
      </c>
      <c r="E95" s="60"/>
      <c r="F95" s="61">
        <f t="shared" si="1"/>
        <v>45670.47411</v>
      </c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57" t="s">
        <v>259</v>
      </c>
      <c r="C96" s="58" t="str">
        <f>IFERROR(VLOOKUP(B96 ,INVENTARIO!$B$2:C994,2,0),"")</f>
        <v>6008LLUC3</v>
      </c>
      <c r="D96" s="59">
        <v>8.0</v>
      </c>
      <c r="E96" s="60"/>
      <c r="F96" s="61">
        <f t="shared" si="1"/>
        <v>45670.47426</v>
      </c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57" t="s">
        <v>264</v>
      </c>
      <c r="C97" s="58" t="str">
        <f>IFERROR(VLOOKUP(B97 ,INVENTARIO!$B$2:C994,2,0),"")</f>
        <v>6009 2RS</v>
      </c>
      <c r="D97" s="59">
        <v>2.0</v>
      </c>
      <c r="E97" s="60"/>
      <c r="F97" s="61">
        <f t="shared" si="1"/>
        <v>45670.47453</v>
      </c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57" t="s">
        <v>267</v>
      </c>
      <c r="C98" s="58">
        <f>IFERROR(VLOOKUP(B98 ,INVENTARIO!$B$2:C994,2,0),"")</f>
        <v>6013</v>
      </c>
      <c r="D98" s="59">
        <v>10.0</v>
      </c>
      <c r="E98" s="60"/>
      <c r="F98" s="61">
        <f t="shared" si="1"/>
        <v>45670.47481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57" t="s">
        <v>268</v>
      </c>
      <c r="C99" s="58" t="str">
        <f>IFERROR(VLOOKUP(B99 ,INVENTARIO!$B$2:C994,2,0),"")</f>
        <v>6200-2RSC3</v>
      </c>
      <c r="D99" s="59">
        <v>2.0</v>
      </c>
      <c r="E99" s="60"/>
      <c r="F99" s="61">
        <f t="shared" si="1"/>
        <v>45670.47499</v>
      </c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57" t="s">
        <v>270</v>
      </c>
      <c r="C100" s="58" t="str">
        <f>IFERROR(VLOOKUP(B100 ,INVENTARIO!$B$2:C994,2,0),"")</f>
        <v>AEL202</v>
      </c>
      <c r="D100" s="59">
        <v>8.0</v>
      </c>
      <c r="E100" s="60"/>
      <c r="F100" s="61">
        <f t="shared" si="1"/>
        <v>45670.47518</v>
      </c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57" t="s">
        <v>272</v>
      </c>
      <c r="C101" s="58" t="str">
        <f>IFERROR(VLOOKUP(B101 ,INVENTARIO!$B$2:C994,2,0),"")</f>
        <v>6201LLUC3/2RS</v>
      </c>
      <c r="D101" s="59">
        <v>0.0</v>
      </c>
      <c r="E101" s="60"/>
      <c r="F101" s="61">
        <f t="shared" si="1"/>
        <v>45670.47538</v>
      </c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57" t="s">
        <v>274</v>
      </c>
      <c r="C102" s="58" t="str">
        <f>IFERROR(VLOOKUP(B102 ,INVENTARIO!$B$2:C994,2,0),"")</f>
        <v>203KRR</v>
      </c>
      <c r="D102" s="59">
        <v>4.0</v>
      </c>
      <c r="E102" s="60"/>
      <c r="F102" s="61">
        <f t="shared" si="1"/>
        <v>45670.47593</v>
      </c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57" t="s">
        <v>276</v>
      </c>
      <c r="C103" s="58" t="str">
        <f>IFERROR(VLOOKUP(B103 ,INVENTARIO!$B$2:C994,2,0),"")</f>
        <v>6201ZZC3 6201ZZC3</v>
      </c>
      <c r="D103" s="59">
        <v>13.0</v>
      </c>
      <c r="E103" s="60"/>
      <c r="F103" s="61">
        <f t="shared" si="1"/>
        <v>45670.47701</v>
      </c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57" t="s">
        <v>278</v>
      </c>
      <c r="C104" s="58" t="str">
        <f>IFERROR(VLOOKUP(B104 ,INVENTARIO!$B$2:C994,2,0),"")</f>
        <v>6202-2RS/C3 - 15X35X11</v>
      </c>
      <c r="D104" s="59">
        <v>4.0</v>
      </c>
      <c r="E104" s="60"/>
      <c r="F104" s="61">
        <f t="shared" si="1"/>
        <v>45670.47717</v>
      </c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57" t="s">
        <v>280</v>
      </c>
      <c r="C105" s="58" t="str">
        <f>IFERROR(VLOOKUP(B105 ,INVENTARIO!$B$2:C994,2,0),"")</f>
        <v>6202ZZC3/EM 6202XXC3/L627</v>
      </c>
      <c r="D105" s="59">
        <v>1.0</v>
      </c>
      <c r="E105" s="60"/>
      <c r="F105" s="61">
        <f t="shared" si="1"/>
        <v>45670.47743</v>
      </c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57" t="s">
        <v>290</v>
      </c>
      <c r="C106" s="58" t="str">
        <f>IFERROR(VLOOKUP(B106 ,INVENTARIO!$B$2:C994,2,0),"")</f>
        <v>6203 ZZ C3</v>
      </c>
      <c r="D106" s="59">
        <v>10.0</v>
      </c>
      <c r="E106" s="60"/>
      <c r="F106" s="61">
        <f t="shared" si="1"/>
        <v>45670.47921</v>
      </c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57" t="s">
        <v>292</v>
      </c>
      <c r="C107" s="58" t="str">
        <f>IFERROR(VLOOKUP(B107 ,INVENTARIO!$B$2:C994,2,0),"")</f>
        <v>6204LLUC3/EM 6204LLUC3/L627</v>
      </c>
      <c r="D107" s="59">
        <v>3.0</v>
      </c>
      <c r="E107" s="60"/>
      <c r="F107" s="61">
        <f t="shared" si="1"/>
        <v>45670.47937</v>
      </c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57" t="s">
        <v>294</v>
      </c>
      <c r="C108" s="58" t="str">
        <f>IFERROR(VLOOKUP(B108 ,INVENTARIO!$B$2:C994,2,0),"")</f>
        <v>6205-2RST/C3</v>
      </c>
      <c r="D108" s="59">
        <v>3.0</v>
      </c>
      <c r="E108" s="60"/>
      <c r="F108" s="61">
        <f t="shared" si="1"/>
        <v>45670.4796</v>
      </c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57" t="s">
        <v>300</v>
      </c>
      <c r="C109" s="58" t="str">
        <f>IFERROR(VLOOKUP(B109 ,INVENTARIO!$B$2:C994,2,0),"")</f>
        <v>6206 ZZ/C3</v>
      </c>
      <c r="D109" s="59">
        <v>6.0</v>
      </c>
      <c r="E109" s="60"/>
      <c r="F109" s="61">
        <f t="shared" si="1"/>
        <v>45670.47983</v>
      </c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57" t="s">
        <v>298</v>
      </c>
      <c r="C110" s="58" t="str">
        <f>IFERROR(VLOOKUP(B110 ,INVENTARIO!$B$2:C994,2,0),"")</f>
        <v>6206LLUC3 6206 LLUC3/2AS</v>
      </c>
      <c r="D110" s="59">
        <v>2.0</v>
      </c>
      <c r="E110" s="60"/>
      <c r="F110" s="61">
        <f t="shared" si="1"/>
        <v>45670.48005</v>
      </c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57" t="s">
        <v>303</v>
      </c>
      <c r="C111" s="58" t="str">
        <f>IFERROR(VLOOKUP(B111 ,INVENTARIO!$B$2:C994,2,0),"")</f>
        <v>6207LLUU/C3</v>
      </c>
      <c r="D111" s="59">
        <v>4.0</v>
      </c>
      <c r="E111" s="60"/>
      <c r="F111" s="61">
        <f t="shared" si="1"/>
        <v>45670.4803</v>
      </c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57" t="s">
        <v>306</v>
      </c>
      <c r="C112" s="58" t="str">
        <f>IFERROR(VLOOKUP(B112 ,INVENTARIO!$B$2:C994,2,0),"")</f>
        <v>6209LLUC3 6209LLUC3/2AS</v>
      </c>
      <c r="D112" s="59">
        <v>8.0</v>
      </c>
      <c r="E112" s="60"/>
      <c r="F112" s="61">
        <f t="shared" si="1"/>
        <v>45670.4805</v>
      </c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57" t="s">
        <v>172</v>
      </c>
      <c r="C113" s="58" t="str">
        <f>IFERROR(VLOOKUP(B113 ,INVENTARIO!$B$2:C994,2,0),"")</f>
        <v>32007X 4T-3007X</v>
      </c>
      <c r="D113" s="59">
        <v>13.0</v>
      </c>
      <c r="E113" s="60"/>
      <c r="F113" s="61">
        <f t="shared" si="1"/>
        <v>45670.48078</v>
      </c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57" t="s">
        <v>309</v>
      </c>
      <c r="C114" s="58" t="str">
        <f>IFERROR(VLOOKUP(B114 ,INVENTARIO!$B$2:C994,2,0),"")</f>
        <v>6210LLUC3</v>
      </c>
      <c r="D114" s="59">
        <v>4.0</v>
      </c>
      <c r="E114" s="60"/>
      <c r="F114" s="61">
        <f t="shared" si="1"/>
        <v>45670.48093</v>
      </c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57" t="s">
        <v>309</v>
      </c>
      <c r="C115" s="58" t="str">
        <f>IFERROR(VLOOKUP(B115 ,INVENTARIO!$B$2:C994,2,0),"")</f>
        <v>6210LLUC3</v>
      </c>
      <c r="D115" s="59">
        <v>6.0</v>
      </c>
      <c r="E115" s="60"/>
      <c r="F115" s="61">
        <f t="shared" si="1"/>
        <v>45670.48112</v>
      </c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57" t="s">
        <v>312</v>
      </c>
      <c r="C116" s="58" t="str">
        <f>IFERROR(VLOOKUP(B116 ,INVENTARIO!$B$2:C994,2,0),"")</f>
        <v>6302 2RSR/C3.J22C</v>
      </c>
      <c r="D116" s="59">
        <v>8.0</v>
      </c>
      <c r="E116" s="60"/>
      <c r="F116" s="61">
        <f t="shared" si="1"/>
        <v>45670.48126</v>
      </c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57" t="s">
        <v>314</v>
      </c>
      <c r="C117" s="58" t="str">
        <f>IFERROR(VLOOKUP(B117 ,INVENTARIO!$B$2:C994,2,0),"")</f>
        <v>6304/2RS-C3</v>
      </c>
      <c r="D117" s="59">
        <v>2.0</v>
      </c>
      <c r="E117" s="60"/>
      <c r="F117" s="61">
        <f t="shared" si="1"/>
        <v>45670.48143</v>
      </c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57" t="s">
        <v>318</v>
      </c>
      <c r="C118" s="58" t="str">
        <f>IFERROR(VLOOKUP(B118 ,INVENTARIO!$B$2:C994,2,0),"")</f>
        <v>6307 2RS</v>
      </c>
      <c r="D118" s="59">
        <v>2.0</v>
      </c>
      <c r="E118" s="60"/>
      <c r="F118" s="61">
        <f t="shared" si="1"/>
        <v>45670.48159</v>
      </c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57" t="s">
        <v>320</v>
      </c>
      <c r="C119" s="58" t="str">
        <f>IFERROR(VLOOKUP(B119 ,INVENTARIO!$B$2:C994,2,0),"")</f>
        <v>6310LLUC3/2AS</v>
      </c>
      <c r="D119" s="59">
        <v>8.0</v>
      </c>
      <c r="E119" s="60"/>
      <c r="F119" s="61">
        <f t="shared" si="1"/>
        <v>45670.48175</v>
      </c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57" t="s">
        <v>323</v>
      </c>
      <c r="C120" s="58" t="str">
        <f>IFERROR(VLOOKUP(B120 ,INVENTARIO!$B$2:C994,2,0),"")</f>
        <v>6800LLU</v>
      </c>
      <c r="D120" s="59">
        <v>20.0</v>
      </c>
      <c r="E120" s="60"/>
      <c r="F120" s="61">
        <f t="shared" si="1"/>
        <v>45670.4819</v>
      </c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57" t="s">
        <v>326</v>
      </c>
      <c r="C121" s="58" t="str">
        <f>IFERROR(VLOOKUP(B121 ,INVENTARIO!$B$2:C994,2,0),"")</f>
        <v>6904LLUC3 6904LLUC3/2AS</v>
      </c>
      <c r="D121" s="59">
        <v>2.0</v>
      </c>
      <c r="E121" s="60"/>
      <c r="F121" s="61">
        <f t="shared" si="1"/>
        <v>45670.48204</v>
      </c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57" t="s">
        <v>328</v>
      </c>
      <c r="C122" s="58" t="str">
        <f>IFERROR(VLOOKUP(B122 ,INVENTARIO!$B$2:C994,2,0),"")</f>
        <v>22.207CCW33/C3</v>
      </c>
      <c r="D122" s="59">
        <v>7.0</v>
      </c>
      <c r="E122" s="60"/>
      <c r="F122" s="61">
        <f t="shared" si="1"/>
        <v>45670.48218</v>
      </c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57" t="s">
        <v>333</v>
      </c>
      <c r="C123" s="58" t="str">
        <f>IFERROR(VLOOKUP(B123 ,INVENTARIO!$B$2:C994,2,0),"")</f>
        <v>61903-2Z</v>
      </c>
      <c r="D123" s="59">
        <v>2.0</v>
      </c>
      <c r="E123" s="60"/>
      <c r="F123" s="61">
        <f t="shared" si="1"/>
        <v>45670.48233</v>
      </c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57" t="s">
        <v>335</v>
      </c>
      <c r="C124" s="58" t="str">
        <f>IFERROR(VLOOKUP(B124 ,INVENTARIO!$B$2:C994,2,0),"")</f>
        <v/>
      </c>
      <c r="D124" s="59">
        <v>2.0</v>
      </c>
      <c r="E124" s="60"/>
      <c r="F124" s="61">
        <f t="shared" si="1"/>
        <v>45670.48251</v>
      </c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57" t="s">
        <v>336</v>
      </c>
      <c r="C125" s="58" t="str">
        <f>IFERROR(VLOOKUP(B125 ,INVENTARIO!$B$2:C994,2,0),"")</f>
        <v/>
      </c>
      <c r="D125" s="59">
        <v>1.0</v>
      </c>
      <c r="E125" s="60"/>
      <c r="F125" s="61">
        <f t="shared" si="1"/>
        <v>45670.48269</v>
      </c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57" t="s">
        <v>338</v>
      </c>
      <c r="C126" s="58" t="str">
        <f>IFERROR(VLOOKUP(B126 ,INVENTARIO!$B$2:C994,2,0),"")</f>
        <v/>
      </c>
      <c r="D126" s="59">
        <v>3.0</v>
      </c>
      <c r="E126" s="60"/>
      <c r="F126" s="61">
        <f t="shared" si="1"/>
        <v>45670.4829</v>
      </c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57" t="s">
        <v>339</v>
      </c>
      <c r="C127" s="58">
        <f>IFERROR(VLOOKUP(B127 ,INVENTARIO!$B$2:C994,2,0),"")</f>
        <v>6903</v>
      </c>
      <c r="D127" s="59">
        <v>4.0</v>
      </c>
      <c r="E127" s="60"/>
      <c r="F127" s="61">
        <f t="shared" si="1"/>
        <v>45670.48303</v>
      </c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57" t="s">
        <v>340</v>
      </c>
      <c r="C128" s="58" t="str">
        <f>IFERROR(VLOOKUP(B128 ,INVENTARIO!$B$2:C994,2,0),"")</f>
        <v>rodamiento 62304 a bolilla, tensores piñones ingreso a coronas de tracción enfriador</v>
      </c>
      <c r="D128" s="59">
        <v>1.0</v>
      </c>
      <c r="E128" s="60"/>
      <c r="F128" s="61">
        <f t="shared" si="1"/>
        <v>45670.48319</v>
      </c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57" t="s">
        <v>342</v>
      </c>
      <c r="C129" s="58" t="str">
        <f>IFERROR(VLOOKUP(B129 ,INVENTARIO!$B$2:C994,2,0),"")</f>
        <v/>
      </c>
      <c r="D129" s="59">
        <v>2.0</v>
      </c>
      <c r="E129" s="60"/>
      <c r="F129" s="61">
        <f t="shared" si="1"/>
        <v>45670.48334</v>
      </c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57" t="s">
        <v>343</v>
      </c>
      <c r="C130" s="58" t="str">
        <f>IFERROR(VLOOKUP(B130 ,INVENTARIO!$B$2:C994,2,0),"")</f>
        <v>P209</v>
      </c>
      <c r="D130" s="59">
        <v>2.0</v>
      </c>
      <c r="E130" s="60"/>
      <c r="F130" s="61">
        <f t="shared" si="1"/>
        <v>45670.48349</v>
      </c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57" t="s">
        <v>346</v>
      </c>
      <c r="C131" s="58" t="str">
        <f>IFERROR(VLOOKUP(B131 ,INVENTARIO!$B$2:C994,2,0),"")</f>
        <v>F206</v>
      </c>
      <c r="D131" s="59">
        <v>2.0</v>
      </c>
      <c r="E131" s="60"/>
      <c r="F131" s="61">
        <f t="shared" si="1"/>
        <v>45670.48361</v>
      </c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57" t="s">
        <v>349</v>
      </c>
      <c r="C132" s="58" t="str">
        <f>IFERROR(VLOOKUP(B132 ,INVENTARIO!$B$2:C994,2,0),"")</f>
        <v>P214</v>
      </c>
      <c r="D132" s="59">
        <v>5.0</v>
      </c>
      <c r="E132" s="60"/>
      <c r="F132" s="61">
        <f t="shared" si="1"/>
        <v>45670.48365</v>
      </c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57" t="s">
        <v>352</v>
      </c>
      <c r="C133" s="58" t="str">
        <f>IFERROR(VLOOKUP(B133 ,INVENTARIO!$B$2:C994,2,0),"")</f>
        <v>P211</v>
      </c>
      <c r="D133" s="59">
        <v>4.0</v>
      </c>
      <c r="E133" s="60"/>
      <c r="F133" s="61">
        <f t="shared" si="1"/>
        <v>45670.48406</v>
      </c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57" t="s">
        <v>355</v>
      </c>
      <c r="C134" s="58" t="str">
        <f>IFERROR(VLOOKUP(B134 ,INVENTARIO!$B$2:C994,2,0),"")</f>
        <v>509-omegas</v>
      </c>
      <c r="D134" s="59">
        <v>5.0</v>
      </c>
      <c r="E134" s="60"/>
      <c r="F134" s="61">
        <f t="shared" si="1"/>
        <v>45670.4847</v>
      </c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57" t="s">
        <v>358</v>
      </c>
      <c r="C135" s="58" t="str">
        <f>IFERROR(VLOOKUP(B135 ,INVENTARIO!$B$2:C994,2,0),"")</f>
        <v>F205</v>
      </c>
      <c r="D135" s="59">
        <v>13.0</v>
      </c>
      <c r="E135" s="60"/>
      <c r="F135" s="61">
        <f t="shared" si="1"/>
        <v>45670.48482</v>
      </c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57" t="s">
        <v>257</v>
      </c>
      <c r="C136" s="58" t="str">
        <f>IFERROR(VLOOKUP(B136 ,INVENTARIO!$B$2:C994,2,0),"")</f>
        <v>6007LLUC3 6007LLUC3/2AS</v>
      </c>
      <c r="D136" s="59">
        <v>4.0</v>
      </c>
      <c r="E136" s="60"/>
      <c r="F136" s="61">
        <f t="shared" si="1"/>
        <v>45670.48495</v>
      </c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57" t="s">
        <v>361</v>
      </c>
      <c r="C137" s="58" t="str">
        <f>IFERROR(VLOOKUP(B137 ,INVENTARIO!$B$2:C994,2,0),"")</f>
        <v>Bancada</v>
      </c>
      <c r="D137" s="59">
        <v>4.0</v>
      </c>
      <c r="E137" s="60"/>
      <c r="F137" s="61">
        <f t="shared" si="1"/>
        <v>45670.48518</v>
      </c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57" t="s">
        <v>364</v>
      </c>
      <c r="C138" s="58" t="str">
        <f>IFERROR(VLOOKUP(B138 ,INVENTARIO!$B$2:C994,2,0),"")</f>
        <v>UCFL204</v>
      </c>
      <c r="D138" s="59">
        <v>2.0</v>
      </c>
      <c r="E138" s="60"/>
      <c r="F138" s="61">
        <f t="shared" si="1"/>
        <v>45670.4854</v>
      </c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57" t="s">
        <v>366</v>
      </c>
      <c r="C139" s="58" t="str">
        <f>IFERROR(VLOOKUP(B139 ,INVENTARIO!$B$2:C994,2,0),"")</f>
        <v>5212SC3</v>
      </c>
      <c r="D139" s="59">
        <v>10.0</v>
      </c>
      <c r="E139" s="60"/>
      <c r="F139" s="61">
        <f t="shared" si="1"/>
        <v>45670.48581</v>
      </c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57" t="s">
        <v>369</v>
      </c>
      <c r="C140" s="58" t="str">
        <f>IFERROR(VLOOKUP(B140 ,INVENTARIO!$B$2:C994,2,0),"")</f>
        <v>FL205 +ROD</v>
      </c>
      <c r="D140" s="59">
        <v>5.0</v>
      </c>
      <c r="E140" s="60"/>
      <c r="F140" s="61">
        <f t="shared" si="1"/>
        <v>45670.48596</v>
      </c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57" t="s">
        <v>371</v>
      </c>
      <c r="C141" s="58" t="str">
        <f>IFERROR(VLOOKUP(B141 ,INVENTARIO!$B$2:C994,2,0),"")</f>
        <v>GYE30KRRB SGT</v>
      </c>
      <c r="D141" s="59">
        <v>2.0</v>
      </c>
      <c r="E141" s="60"/>
      <c r="F141" s="61">
        <f t="shared" si="1"/>
        <v>45670.4866</v>
      </c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57" t="s">
        <v>373</v>
      </c>
      <c r="C142" s="58" t="str">
        <f>IFERROR(VLOOKUP(B142 ,INVENTARIO!$B$2:C994,2,0),"")</f>
        <v>FC208</v>
      </c>
      <c r="D142" s="59">
        <v>2.0</v>
      </c>
      <c r="E142" s="60"/>
      <c r="F142" s="61">
        <f t="shared" si="1"/>
        <v>45670.48676</v>
      </c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57" t="s">
        <v>375</v>
      </c>
      <c r="C143" s="58" t="str">
        <f>IFERROR(VLOOKUP(B143 ,INVENTARIO!$B$2:C994,2,0),"")</f>
        <v>T-208</v>
      </c>
      <c r="D143" s="59">
        <v>1.0</v>
      </c>
      <c r="E143" s="60"/>
      <c r="F143" s="61">
        <f t="shared" si="1"/>
        <v>45670.48688</v>
      </c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57" t="s">
        <v>380</v>
      </c>
      <c r="C144" s="58" t="str">
        <f>IFERROR(VLOOKUP(B144 ,INVENTARIO!$B$2:C994,2,0),"")</f>
        <v/>
      </c>
      <c r="D144" s="59">
        <v>2.0</v>
      </c>
      <c r="E144" s="60"/>
      <c r="F144" s="61">
        <f t="shared" si="1"/>
        <v>45670.48719</v>
      </c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57" t="s">
        <v>381</v>
      </c>
      <c r="C145" s="58">
        <f>IFERROR(VLOOKUP(B145 ,INVENTARIO!$B$2:C994,2,0),"")</f>
        <v>22207</v>
      </c>
      <c r="D145" s="59">
        <v>1.0</v>
      </c>
      <c r="E145" s="60"/>
      <c r="F145" s="61">
        <f t="shared" si="1"/>
        <v>45670.48733</v>
      </c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57" t="s">
        <v>382</v>
      </c>
      <c r="C146" s="58" t="str">
        <f>IFERROR(VLOOKUP(B146 ,INVENTARIO!$B$2:C994,2,0),"")</f>
        <v>YAR- 206-104</v>
      </c>
      <c r="D146" s="59">
        <v>4.0</v>
      </c>
      <c r="E146" s="60"/>
      <c r="F146" s="61">
        <f t="shared" si="1"/>
        <v>45670.48753</v>
      </c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57" t="s">
        <v>384</v>
      </c>
      <c r="C147" s="58" t="str">
        <f>IFERROR(VLOOKUP(B147 ,INVENTARIO!$B$2:C994,2,0),"")</f>
        <v>tapon</v>
      </c>
      <c r="D147" s="62">
        <v>6.0</v>
      </c>
      <c r="E147" s="60"/>
      <c r="F147" s="61">
        <f t="shared" si="1"/>
        <v>45670.48941</v>
      </c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57" t="s">
        <v>386</v>
      </c>
      <c r="C148" s="58" t="str">
        <f>IFERROR(VLOOKUP(B148 ,INVENTARIO!$B$2:C994,2,0),"")</f>
        <v>tapon</v>
      </c>
      <c r="D148" s="62">
        <v>7.0</v>
      </c>
      <c r="E148" s="60"/>
      <c r="F148" s="61">
        <f t="shared" si="1"/>
        <v>45670.48957</v>
      </c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57" t="s">
        <v>387</v>
      </c>
      <c r="C149" s="58" t="str">
        <f>IFERROR(VLOOKUP(B149 ,INVENTARIO!$B$2:C994,2,0),"")</f>
        <v>tapon</v>
      </c>
      <c r="D149" s="62">
        <v>6.0</v>
      </c>
      <c r="E149" s="60"/>
      <c r="F149" s="61">
        <f t="shared" si="1"/>
        <v>45670.48965</v>
      </c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57" t="s">
        <v>388</v>
      </c>
      <c r="C150" s="58" t="str">
        <f>IFERROR(VLOOKUP(B150 ,INVENTARIO!$B$2:C994,2,0),"")</f>
        <v>entre rosca</v>
      </c>
      <c r="D150" s="62">
        <v>7.0</v>
      </c>
      <c r="E150" s="60"/>
      <c r="F150" s="61">
        <f t="shared" si="1"/>
        <v>45670.48977</v>
      </c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57" t="s">
        <v>390</v>
      </c>
      <c r="C151" s="58" t="str">
        <f>IFERROR(VLOOKUP(B151 ,INVENTARIO!$B$2:C994,2,0),"")</f>
        <v>entre rosca</v>
      </c>
      <c r="D151" s="62">
        <v>1.0</v>
      </c>
      <c r="E151" s="60"/>
      <c r="F151" s="61">
        <f t="shared" si="1"/>
        <v>45670.48988</v>
      </c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57" t="s">
        <v>391</v>
      </c>
      <c r="C152" s="58" t="str">
        <f>IFERROR(VLOOKUP(B152 ,INVENTARIO!$B$2:C994,2,0),"")</f>
        <v>entre rosca</v>
      </c>
      <c r="D152" s="62">
        <v>3.0</v>
      </c>
      <c r="E152" s="60"/>
      <c r="F152" s="61">
        <f t="shared" si="1"/>
        <v>45670.49</v>
      </c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57" t="s">
        <v>392</v>
      </c>
      <c r="C153" s="58" t="str">
        <f>IFERROR(VLOOKUP(B153 ,INVENTARIO!$B$2:C994,2,0),"")</f>
        <v>entre rosca</v>
      </c>
      <c r="D153" s="62">
        <v>1.0</v>
      </c>
      <c r="E153" s="60"/>
      <c r="F153" s="61">
        <f t="shared" si="1"/>
        <v>45670.49013</v>
      </c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57" t="s">
        <v>393</v>
      </c>
      <c r="C154" s="58" t="str">
        <f>IFERROR(VLOOKUP(B154 ,INVENTARIO!$B$2:C994,2,0),"")</f>
        <v>entre rosca</v>
      </c>
      <c r="D154" s="62">
        <v>5.0</v>
      </c>
      <c r="E154" s="60"/>
      <c r="F154" s="61">
        <f t="shared" si="1"/>
        <v>45670.49025</v>
      </c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57" t="s">
        <v>394</v>
      </c>
      <c r="C155" s="58" t="str">
        <f>IFERROR(VLOOKUP(B155 ,INVENTARIO!$B$2:C994,2,0),"")</f>
        <v>entre rosca</v>
      </c>
      <c r="D155" s="62">
        <v>11.0</v>
      </c>
      <c r="E155" s="60"/>
      <c r="F155" s="61">
        <f t="shared" si="1"/>
        <v>45670.49033</v>
      </c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57" t="s">
        <v>395</v>
      </c>
      <c r="C156" s="58" t="str">
        <f>IFERROR(VLOOKUP(B156 ,INVENTARIO!$B$2:C994,2,0),"")</f>
        <v>cuplas</v>
      </c>
      <c r="D156" s="62">
        <v>6.0</v>
      </c>
      <c r="E156" s="60"/>
      <c r="F156" s="61">
        <f t="shared" si="1"/>
        <v>45670.49049</v>
      </c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57" t="s">
        <v>397</v>
      </c>
      <c r="C157" s="58" t="str">
        <f>IFERROR(VLOOKUP(B157 ,INVENTARIO!$B$2:C994,2,0),"")</f>
        <v>cuplas</v>
      </c>
      <c r="D157" s="62">
        <v>3.0</v>
      </c>
      <c r="E157" s="60"/>
      <c r="F157" s="61">
        <f t="shared" si="1"/>
        <v>45670.49095</v>
      </c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57" t="s">
        <v>398</v>
      </c>
      <c r="C158" s="58" t="str">
        <f>IFERROR(VLOOKUP(B158 ,INVENTARIO!$B$2:C994,2,0),"")</f>
        <v>cuplas</v>
      </c>
      <c r="D158" s="62">
        <v>3.0</v>
      </c>
      <c r="E158" s="60"/>
      <c r="F158" s="61">
        <f t="shared" si="1"/>
        <v>45670.49105</v>
      </c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57" t="s">
        <v>399</v>
      </c>
      <c r="C159" s="58" t="str">
        <f>IFERROR(VLOOKUP(B159 ,INVENTARIO!$B$2:C994,2,0),"")</f>
        <v>cuplas</v>
      </c>
      <c r="D159" s="62">
        <v>7.0</v>
      </c>
      <c r="E159" s="60"/>
      <c r="F159" s="61">
        <f t="shared" si="1"/>
        <v>45670.49225</v>
      </c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57" t="s">
        <v>400</v>
      </c>
      <c r="C160" s="58" t="str">
        <f>IFERROR(VLOOKUP(B160 ,INVENTARIO!$B$2:C994,2,0),"")</f>
        <v>cuplas</v>
      </c>
      <c r="D160" s="62">
        <v>8.0</v>
      </c>
      <c r="E160" s="60"/>
      <c r="F160" s="61">
        <f t="shared" si="1"/>
        <v>45670.49234</v>
      </c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57" t="s">
        <v>400</v>
      </c>
      <c r="C161" s="58" t="str">
        <f>IFERROR(VLOOKUP(B161 ,INVENTARIO!$B$2:C994,2,0),"")</f>
        <v>cuplas</v>
      </c>
      <c r="D161" s="62">
        <v>9.0</v>
      </c>
      <c r="E161" s="60"/>
      <c r="F161" s="61">
        <f t="shared" si="1"/>
        <v>45670.49243</v>
      </c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57" t="s">
        <v>402</v>
      </c>
      <c r="C162" s="58" t="str">
        <f>IFERROR(VLOOKUP(B162 ,INVENTARIO!$B$2:C994,2,0),"")</f>
        <v>codos</v>
      </c>
      <c r="D162" s="62">
        <v>1.0</v>
      </c>
      <c r="E162" s="60"/>
      <c r="F162" s="61">
        <f t="shared" si="1"/>
        <v>45670.49254</v>
      </c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57" t="s">
        <v>403</v>
      </c>
      <c r="C163" s="58" t="str">
        <f>IFERROR(VLOOKUP(B163 ,INVENTARIO!$B$2:C994,2,0),"")</f>
        <v>codos</v>
      </c>
      <c r="D163" s="62">
        <v>1.0</v>
      </c>
      <c r="E163" s="60"/>
      <c r="F163" s="61">
        <f t="shared" si="1"/>
        <v>45670.49265</v>
      </c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57" t="s">
        <v>404</v>
      </c>
      <c r="C164" s="58" t="str">
        <f>IFERROR(VLOOKUP(B164 ,INVENTARIO!$B$2:C994,2,0),"")</f>
        <v>codo hembra macho</v>
      </c>
      <c r="D164" s="62">
        <v>7.0</v>
      </c>
      <c r="E164" s="60"/>
      <c r="F164" s="61">
        <f t="shared" si="1"/>
        <v>45670.49276</v>
      </c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57" t="s">
        <v>406</v>
      </c>
      <c r="C165" s="58" t="str">
        <f>IFERROR(VLOOKUP(B165 ,INVENTARIO!$B$2:C994,2,0),"")</f>
        <v>curva a 45° hembra macho</v>
      </c>
      <c r="D165" s="62">
        <v>1.0</v>
      </c>
      <c r="E165" s="60"/>
      <c r="F165" s="61">
        <f t="shared" si="1"/>
        <v>45670.49332</v>
      </c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57" t="s">
        <v>408</v>
      </c>
      <c r="C166" s="58" t="str">
        <f>IFERROR(VLOOKUP(B166 ,INVENTARIO!$B$2:C994,2,0),"")</f>
        <v>curva a 45| hembra</v>
      </c>
      <c r="D166" s="62">
        <v>1.0</v>
      </c>
      <c r="E166" s="60"/>
      <c r="F166" s="61">
        <f t="shared" si="1"/>
        <v>45670.4978</v>
      </c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57" t="s">
        <v>410</v>
      </c>
      <c r="C167" s="58" t="str">
        <f>IFERROR(VLOOKUP(B167 ,INVENTARIO!$B$2:C994,2,0),"")</f>
        <v>curva a 45° hembra</v>
      </c>
      <c r="D167" s="62">
        <v>2.0</v>
      </c>
      <c r="E167" s="60"/>
      <c r="F167" s="61">
        <f t="shared" si="1"/>
        <v>45670.4979</v>
      </c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57" t="s">
        <v>412</v>
      </c>
      <c r="C168" s="58" t="str">
        <f>IFERROR(VLOOKUP(B168 ,INVENTARIO!$B$2:C994,2,0),"")</f>
        <v>curva a 45° hembra</v>
      </c>
      <c r="D168" s="62">
        <v>3.0</v>
      </c>
      <c r="E168" s="60"/>
      <c r="F168" s="61">
        <f t="shared" si="1"/>
        <v>45670.49803</v>
      </c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57" t="s">
        <v>413</v>
      </c>
      <c r="C169" s="58" t="str">
        <f>IFERROR(VLOOKUP(B169 ,INVENTARIO!$B$2:C994,2,0),"")</f>
        <v>curva a 75° hembra</v>
      </c>
      <c r="D169" s="62">
        <v>1.0</v>
      </c>
      <c r="E169" s="60"/>
      <c r="F169" s="61">
        <f t="shared" si="1"/>
        <v>45670.49811</v>
      </c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57" t="s">
        <v>415</v>
      </c>
      <c r="C170" s="58" t="str">
        <f>IFERROR(VLOOKUP(B170 ,INVENTARIO!$B$2:C994,2,0),"")</f>
        <v>curva a 90° hembra</v>
      </c>
      <c r="D170" s="62">
        <v>11.0</v>
      </c>
      <c r="E170" s="60"/>
      <c r="F170" s="61">
        <f t="shared" si="1"/>
        <v>45670.49823</v>
      </c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57" t="s">
        <v>417</v>
      </c>
      <c r="C171" s="58" t="str">
        <f>IFERROR(VLOOKUP(B171 ,INVENTARIO!$B$2:C994,2,0),"")</f>
        <v>curva macho hembra a 90°</v>
      </c>
      <c r="D171" s="62">
        <v>1.0</v>
      </c>
      <c r="E171" s="60"/>
      <c r="F171" s="61">
        <f t="shared" si="1"/>
        <v>45670.49832</v>
      </c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57" t="s">
        <v>419</v>
      </c>
      <c r="C172" s="58" t="str">
        <f>IFERROR(VLOOKUP(B172 ,INVENTARIO!$B$2:C994,2,0),"")</f>
        <v>union T hembra</v>
      </c>
      <c r="D172" s="62">
        <v>10.0</v>
      </c>
      <c r="E172" s="60"/>
      <c r="F172" s="61">
        <f t="shared" si="1"/>
        <v>45670.49846</v>
      </c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57" t="s">
        <v>421</v>
      </c>
      <c r="C173" s="58" t="str">
        <f>IFERROR(VLOOKUP(B173 ,INVENTARIO!$B$2:C994,2,0),"")</f>
        <v>union T hembra</v>
      </c>
      <c r="D173" s="62">
        <v>2.0</v>
      </c>
      <c r="E173" s="60"/>
      <c r="F173" s="61">
        <f t="shared" si="1"/>
        <v>45670.49865</v>
      </c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57" t="s">
        <v>422</v>
      </c>
      <c r="C174" s="58" t="str">
        <f>IFERROR(VLOOKUP(B174 ,INVENTARIO!$B$2:C994,2,0),"")</f>
        <v>union T hembra</v>
      </c>
      <c r="D174" s="62">
        <v>4.0</v>
      </c>
      <c r="E174" s="60"/>
      <c r="F174" s="61">
        <f t="shared" si="1"/>
        <v>45670.49879</v>
      </c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57" t="s">
        <v>423</v>
      </c>
      <c r="C175" s="58" t="str">
        <f>IFERROR(VLOOKUP(B175 ,INVENTARIO!$B$2:C994,2,0),"")</f>
        <v>union T hembra</v>
      </c>
      <c r="D175" s="62">
        <v>5.0</v>
      </c>
      <c r="E175" s="60"/>
      <c r="F175" s="61">
        <f t="shared" si="1"/>
        <v>45670.49891</v>
      </c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57" t="s">
        <v>424</v>
      </c>
      <c r="C176" s="58" t="str">
        <f>IFERROR(VLOOKUP(B176 ,INVENTARIO!$B$2:C994,2,0),"")</f>
        <v>reduccion hembra macho</v>
      </c>
      <c r="D176" s="62">
        <v>2.0</v>
      </c>
      <c r="E176" s="60"/>
      <c r="F176" s="61">
        <f t="shared" si="1"/>
        <v>45670.49902</v>
      </c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57" t="s">
        <v>426</v>
      </c>
      <c r="C177" s="58" t="str">
        <f>IFERROR(VLOOKUP(B177 ,INVENTARIO!$B$2:C994,2,0),"")</f>
        <v>reduccion hembra macho</v>
      </c>
      <c r="D177" s="62">
        <v>2.0</v>
      </c>
      <c r="E177" s="60"/>
      <c r="F177" s="61">
        <f t="shared" si="1"/>
        <v>45670.50052</v>
      </c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57" t="s">
        <v>427</v>
      </c>
      <c r="C178" s="58" t="str">
        <f>IFERROR(VLOOKUP(B178 ,INVENTARIO!$B$2:C994,2,0),"")</f>
        <v>reduccion hembra macho</v>
      </c>
      <c r="D178" s="62">
        <v>1.0</v>
      </c>
      <c r="E178" s="60"/>
      <c r="F178" s="61">
        <f t="shared" si="1"/>
        <v>45670.50061</v>
      </c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57" t="s">
        <v>428</v>
      </c>
      <c r="C179" s="58" t="str">
        <f>IFERROR(VLOOKUP(B179 ,INVENTARIO!$B$2:C994,2,0),"")</f>
        <v>reduccion hembra macho</v>
      </c>
      <c r="D179" s="62">
        <v>1.0</v>
      </c>
      <c r="E179" s="60"/>
      <c r="F179" s="61">
        <f t="shared" si="1"/>
        <v>45670.5007</v>
      </c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57" t="s">
        <v>429</v>
      </c>
      <c r="C180" s="58" t="str">
        <f>IFERROR(VLOOKUP(B180 ,INVENTARIO!$B$2:C994,2,0),"")</f>
        <v>reduccion hembra macho</v>
      </c>
      <c r="D180" s="62">
        <v>2.0</v>
      </c>
      <c r="E180" s="60"/>
      <c r="F180" s="61">
        <f t="shared" si="1"/>
        <v>45670.50847</v>
      </c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57" t="s">
        <v>430</v>
      </c>
      <c r="C181" s="58" t="str">
        <f>IFERROR(VLOOKUP(B181 ,INVENTARIO!$B$2:C994,2,0),"")</f>
        <v>union doble</v>
      </c>
      <c r="D181" s="62">
        <v>6.0</v>
      </c>
      <c r="E181" s="60"/>
      <c r="F181" s="61">
        <f t="shared" si="1"/>
        <v>45670.50856</v>
      </c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57" t="s">
        <v>432</v>
      </c>
      <c r="C182" s="58" t="str">
        <f>IFERROR(VLOOKUP(B182 ,INVENTARIO!$B$2:C994,2,0),"")</f>
        <v>union doble</v>
      </c>
      <c r="D182" s="62">
        <v>2.0</v>
      </c>
      <c r="E182" s="60"/>
      <c r="F182" s="61">
        <f t="shared" si="1"/>
        <v>45670.50865</v>
      </c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57" t="s">
        <v>433</v>
      </c>
      <c r="C183" s="58" t="str">
        <f>IFERROR(VLOOKUP(B183 ,INVENTARIO!$B$2:C994,2,0),"")</f>
        <v>union doble</v>
      </c>
      <c r="D183" s="62">
        <v>2.0</v>
      </c>
      <c r="E183" s="60"/>
      <c r="F183" s="61">
        <f t="shared" si="1"/>
        <v>45670.50874</v>
      </c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57" t="s">
        <v>434</v>
      </c>
      <c r="C184" s="58" t="str">
        <f>IFERROR(VLOOKUP(B184 ,INVENTARIO!$B$2:C994,2,0),"")</f>
        <v>union doble</v>
      </c>
      <c r="D184" s="62">
        <v>2.0</v>
      </c>
      <c r="E184" s="60"/>
      <c r="F184" s="61">
        <f t="shared" si="1"/>
        <v>45670.50882</v>
      </c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57" t="s">
        <v>1892</v>
      </c>
      <c r="C185" s="58" t="str">
        <f>IFERROR(VLOOKUP(B185 ,INVENTARIO!$B$2:C994,2,0),"")</f>
        <v/>
      </c>
      <c r="D185" s="62">
        <v>6.0</v>
      </c>
      <c r="E185" s="60"/>
      <c r="F185" s="61">
        <f t="shared" si="1"/>
        <v>45670.50892</v>
      </c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57" t="s">
        <v>1893</v>
      </c>
      <c r="C186" s="58" t="str">
        <f>IFERROR(VLOOKUP(B186 ,INVENTARIO!$B$2:C994,2,0),"")</f>
        <v/>
      </c>
      <c r="D186" s="62">
        <v>1.0</v>
      </c>
      <c r="E186" s="60"/>
      <c r="F186" s="61">
        <f t="shared" si="1"/>
        <v>45670.50902</v>
      </c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57" t="s">
        <v>1894</v>
      </c>
      <c r="C187" s="58" t="str">
        <f>IFERROR(VLOOKUP(B187 ,INVENTARIO!$B$2:C994,2,0),"")</f>
        <v/>
      </c>
      <c r="D187" s="62">
        <v>3.0</v>
      </c>
      <c r="E187" s="60"/>
      <c r="F187" s="61">
        <f t="shared" si="1"/>
        <v>45670.5091</v>
      </c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57" t="s">
        <v>439</v>
      </c>
      <c r="C188" s="58" t="str">
        <f>IFERROR(VLOOKUP(B188 ,INVENTARIO!$B$2:C994,2,0),"")</f>
        <v/>
      </c>
      <c r="D188" s="62">
        <v>4.0</v>
      </c>
      <c r="E188" s="60"/>
      <c r="F188" s="61">
        <f t="shared" si="1"/>
        <v>45670.50958</v>
      </c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57" t="s">
        <v>1895</v>
      </c>
      <c r="C189" s="58" t="str">
        <f>IFERROR(VLOOKUP(B189 ,INVENTARIO!$B$2:C994,2,0),"")</f>
        <v/>
      </c>
      <c r="D189" s="62">
        <v>0.0</v>
      </c>
      <c r="E189" s="60"/>
      <c r="F189" s="61">
        <f t="shared" si="1"/>
        <v>45670.50967</v>
      </c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57" t="s">
        <v>1894</v>
      </c>
      <c r="C190" s="58" t="str">
        <f>IFERROR(VLOOKUP(B190 ,INVENTARIO!$B$2:C994,2,0),"")</f>
        <v/>
      </c>
      <c r="D190" s="62">
        <v>1.0</v>
      </c>
      <c r="E190" s="60"/>
      <c r="F190" s="61">
        <f t="shared" si="1"/>
        <v>45670.5098</v>
      </c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57" t="s">
        <v>443</v>
      </c>
      <c r="C191" s="58" t="str">
        <f>IFERROR(VLOOKUP(B191 ,INVENTARIO!$B$2:C994,2,0),"")</f>
        <v>niple de 1/2"x20mm</v>
      </c>
      <c r="D191" s="62">
        <v>0.0</v>
      </c>
      <c r="E191" s="60"/>
      <c r="F191" s="61">
        <f t="shared" si="1"/>
        <v>45670.50988</v>
      </c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57" t="s">
        <v>1896</v>
      </c>
      <c r="C192" s="58" t="str">
        <f>IFERROR(VLOOKUP(B192 ,INVENTARIO!$B$2:C994,2,0),"")</f>
        <v/>
      </c>
      <c r="D192" s="62">
        <v>1.0</v>
      </c>
      <c r="E192" s="60"/>
      <c r="F192" s="61">
        <f t="shared" si="1"/>
        <v>45670.50997</v>
      </c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57" t="s">
        <v>448</v>
      </c>
      <c r="C193" s="58" t="str">
        <f>IFERROR(VLOOKUP(B193 ,INVENTARIO!$B$2:C994,2,0),"")</f>
        <v>tapon</v>
      </c>
      <c r="D193" s="62">
        <v>1.0</v>
      </c>
      <c r="E193" s="60"/>
      <c r="F193" s="61">
        <f t="shared" si="1"/>
        <v>45670.51033</v>
      </c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57" t="s">
        <v>386</v>
      </c>
      <c r="C194" s="58" t="str">
        <f>IFERROR(VLOOKUP(B194 ,INVENTARIO!$B$2:C994,2,0),"")</f>
        <v>tapon</v>
      </c>
      <c r="D194" s="62">
        <v>0.0</v>
      </c>
      <c r="E194" s="60"/>
      <c r="F194" s="61">
        <f t="shared" si="1"/>
        <v>45670.51053</v>
      </c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57" t="s">
        <v>387</v>
      </c>
      <c r="C195" s="58" t="str">
        <f>IFERROR(VLOOKUP(B195 ,INVENTARIO!$B$2:C994,2,0),"")</f>
        <v>tapon</v>
      </c>
      <c r="D195" s="62">
        <v>2.0</v>
      </c>
      <c r="E195" s="60"/>
      <c r="F195" s="61">
        <f t="shared" si="1"/>
        <v>45670.5106</v>
      </c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57" t="s">
        <v>449</v>
      </c>
      <c r="C196" s="58" t="str">
        <f>IFERROR(VLOOKUP(B196 ,INVENTARIO!$B$2:C994,2,0),"")</f>
        <v>tapa hembra</v>
      </c>
      <c r="D196" s="62">
        <v>0.0</v>
      </c>
      <c r="E196" s="60"/>
      <c r="F196" s="61">
        <f t="shared" si="1"/>
        <v>45670.51106</v>
      </c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57" t="s">
        <v>451</v>
      </c>
      <c r="C197" s="58" t="str">
        <f>IFERROR(VLOOKUP(B197 ,INVENTARIO!$B$2:C994,2,0),"")</f>
        <v>entre rosca</v>
      </c>
      <c r="D197" s="62">
        <v>3.0</v>
      </c>
      <c r="E197" s="60"/>
      <c r="F197" s="61">
        <f t="shared" si="1"/>
        <v>45670.51115</v>
      </c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57" t="s">
        <v>452</v>
      </c>
      <c r="C198" s="58" t="str">
        <f>IFERROR(VLOOKUP(B198 ,INVENTARIO!$B$2:C994,2,0),"")</f>
        <v>entre rosca</v>
      </c>
      <c r="D198" s="62">
        <v>2.0</v>
      </c>
      <c r="E198" s="60"/>
      <c r="F198" s="61">
        <f t="shared" si="1"/>
        <v>45670.51125</v>
      </c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57" t="s">
        <v>453</v>
      </c>
      <c r="C199" s="58" t="str">
        <f>IFERROR(VLOOKUP(B199 ,INVENTARIO!$B$2:C994,2,0),"")</f>
        <v>entre rosca</v>
      </c>
      <c r="D199" s="62">
        <v>0.0</v>
      </c>
      <c r="E199" s="60"/>
      <c r="F199" s="61">
        <f t="shared" si="1"/>
        <v>45670.51134</v>
      </c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57" t="s">
        <v>392</v>
      </c>
      <c r="C200" s="58" t="str">
        <f>IFERROR(VLOOKUP(B200 ,INVENTARIO!$B$2:C994,2,0),"")</f>
        <v>entre rosca</v>
      </c>
      <c r="D200" s="62">
        <v>5.0</v>
      </c>
      <c r="E200" s="60"/>
      <c r="F200" s="61">
        <f t="shared" si="1"/>
        <v>45670.51147</v>
      </c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57" t="s">
        <v>394</v>
      </c>
      <c r="C201" s="58" t="str">
        <f>IFERROR(VLOOKUP(B201 ,INVENTARIO!$B$2:C994,2,0),"")</f>
        <v>entre rosca</v>
      </c>
      <c r="D201" s="62">
        <v>0.0</v>
      </c>
      <c r="E201" s="60"/>
      <c r="F201" s="61">
        <f t="shared" si="1"/>
        <v>45670.51154</v>
      </c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57" t="s">
        <v>395</v>
      </c>
      <c r="C202" s="58" t="str">
        <f>IFERROR(VLOOKUP(B202 ,INVENTARIO!$B$2:C994,2,0),"")</f>
        <v>cuplas</v>
      </c>
      <c r="D202" s="62">
        <v>2.0</v>
      </c>
      <c r="E202" s="60"/>
      <c r="F202" s="61">
        <f t="shared" si="1"/>
        <v>45670.51163</v>
      </c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57" t="s">
        <v>397</v>
      </c>
      <c r="C203" s="58" t="str">
        <f>IFERROR(VLOOKUP(B203 ,INVENTARIO!$B$2:C994,2,0),"")</f>
        <v>cuplas</v>
      </c>
      <c r="D203" s="62">
        <v>3.0</v>
      </c>
      <c r="E203" s="60"/>
      <c r="F203" s="61">
        <f t="shared" si="1"/>
        <v>45670.51172</v>
      </c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57" t="s">
        <v>454</v>
      </c>
      <c r="C204" s="58" t="str">
        <f>IFERROR(VLOOKUP(B204 ,INVENTARIO!$B$2:C994,2,0),"")</f>
        <v>cuplas</v>
      </c>
      <c r="D204" s="62">
        <v>1.0</v>
      </c>
      <c r="E204" s="60"/>
      <c r="F204" s="61">
        <f t="shared" si="1"/>
        <v>45670.5118</v>
      </c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57" t="s">
        <v>455</v>
      </c>
      <c r="C205" s="58" t="str">
        <f>IFERROR(VLOOKUP(B205 ,INVENTARIO!$B$2:C994,2,0),"")</f>
        <v>cuplas</v>
      </c>
      <c r="D205" s="62">
        <v>1.0</v>
      </c>
      <c r="E205" s="60"/>
      <c r="F205" s="61">
        <f t="shared" si="1"/>
        <v>45670.51187</v>
      </c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57" t="s">
        <v>400</v>
      </c>
      <c r="C206" s="58" t="str">
        <f>IFERROR(VLOOKUP(B206 ,INVENTARIO!$B$2:C994,2,0),"")</f>
        <v>cuplas</v>
      </c>
      <c r="D206" s="62">
        <v>4.0</v>
      </c>
      <c r="E206" s="60"/>
      <c r="F206" s="61">
        <f t="shared" si="1"/>
        <v>45670.51195</v>
      </c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57" t="s">
        <v>456</v>
      </c>
      <c r="C207" s="58" t="str">
        <f>IFERROR(VLOOKUP(B207 ,INVENTARIO!$B$2:C994,2,0),"")</f>
        <v>codos</v>
      </c>
      <c r="D207" s="62">
        <v>2.0</v>
      </c>
      <c r="E207" s="60"/>
      <c r="F207" s="61">
        <f t="shared" si="1"/>
        <v>45670.51205</v>
      </c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57" t="s">
        <v>457</v>
      </c>
      <c r="C208" s="58" t="str">
        <f>IFERROR(VLOOKUP(B208 ,INVENTARIO!$B$2:C994,2,0),"")</f>
        <v>codos</v>
      </c>
      <c r="D208" s="62">
        <v>1.0</v>
      </c>
      <c r="E208" s="60"/>
      <c r="F208" s="61">
        <f t="shared" si="1"/>
        <v>45670.51215</v>
      </c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57" t="s">
        <v>458</v>
      </c>
      <c r="C209" s="58" t="str">
        <f>IFERROR(VLOOKUP(B209 ,INVENTARIO!$B$2:C994,2,0),"")</f>
        <v>codos</v>
      </c>
      <c r="D209" s="62">
        <v>0.0</v>
      </c>
      <c r="E209" s="60"/>
      <c r="F209" s="61">
        <f t="shared" si="1"/>
        <v>45670.51228</v>
      </c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57" t="s">
        <v>459</v>
      </c>
      <c r="C210" s="58" t="str">
        <f>IFERROR(VLOOKUP(B210 ,INVENTARIO!$B$2:C994,2,0),"")</f>
        <v>codos</v>
      </c>
      <c r="D210" s="62">
        <v>1.0</v>
      </c>
      <c r="E210" s="60"/>
      <c r="F210" s="61">
        <f t="shared" si="1"/>
        <v>45670.51237</v>
      </c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57" t="s">
        <v>460</v>
      </c>
      <c r="C211" s="58" t="str">
        <f>IFERROR(VLOOKUP(B211 ,INVENTARIO!$B$2:C994,2,0),"")</f>
        <v>curva macho hembra</v>
      </c>
      <c r="D211" s="62">
        <v>1.0</v>
      </c>
      <c r="E211" s="60"/>
      <c r="F211" s="61">
        <f t="shared" si="1"/>
        <v>45670.51246</v>
      </c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57" t="s">
        <v>462</v>
      </c>
      <c r="C212" s="58" t="str">
        <f>IFERROR(VLOOKUP(B212 ,INVENTARIO!$B$2:C994,2,0),"")</f>
        <v>union T</v>
      </c>
      <c r="D212" s="62">
        <v>3.0</v>
      </c>
      <c r="E212" s="60"/>
      <c r="F212" s="61">
        <f t="shared" si="1"/>
        <v>45670.51257</v>
      </c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57" t="s">
        <v>464</v>
      </c>
      <c r="C213" s="58" t="str">
        <f>IFERROR(VLOOKUP(B213 ,INVENTARIO!$B$2:C994,2,0),"")</f>
        <v>union T</v>
      </c>
      <c r="D213" s="62">
        <v>3.0</v>
      </c>
      <c r="E213" s="60"/>
      <c r="F213" s="61">
        <f t="shared" si="1"/>
        <v>45670.51264</v>
      </c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57" t="s">
        <v>465</v>
      </c>
      <c r="C214" s="58" t="str">
        <f>IFERROR(VLOOKUP(B214 ,INVENTARIO!$B$2:C994,2,0),"")</f>
        <v>unionT</v>
      </c>
      <c r="D214" s="62">
        <v>1.0</v>
      </c>
      <c r="E214" s="60"/>
      <c r="F214" s="61">
        <f t="shared" si="1"/>
        <v>45670.51272</v>
      </c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57" t="s">
        <v>467</v>
      </c>
      <c r="C215" s="58" t="str">
        <f>IFERROR(VLOOKUP(B215 ,INVENTARIO!$B$2:C994,2,0),"")</f>
        <v>reduccion hembra macho</v>
      </c>
      <c r="D215" s="62">
        <v>3.0</v>
      </c>
      <c r="E215" s="60"/>
      <c r="F215" s="61">
        <f t="shared" si="1"/>
        <v>45670.51281</v>
      </c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57" t="s">
        <v>468</v>
      </c>
      <c r="C216" s="58" t="str">
        <f>IFERROR(VLOOKUP(B216 ,INVENTARIO!$B$2:C994,2,0),"")</f>
        <v>reduccion hembra macho</v>
      </c>
      <c r="D216" s="62">
        <v>1.0</v>
      </c>
      <c r="E216" s="60"/>
      <c r="F216" s="61">
        <f t="shared" si="1"/>
        <v>45670.5129</v>
      </c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57" t="s">
        <v>469</v>
      </c>
      <c r="C217" s="58" t="str">
        <f>IFERROR(VLOOKUP(B217 ,INVENTARIO!$B$2:C994,2,0),"")</f>
        <v>reduccion hembra macho</v>
      </c>
      <c r="D217" s="62">
        <v>1.0</v>
      </c>
      <c r="E217" s="60"/>
      <c r="F217" s="61">
        <f t="shared" si="1"/>
        <v>45670.51302</v>
      </c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57" t="s">
        <v>470</v>
      </c>
      <c r="C218" s="58" t="str">
        <f>IFERROR(VLOOKUP(B218 ,INVENTARIO!$B$2:C994,2,0),"")</f>
        <v>reduccion hembra macho</v>
      </c>
      <c r="D218" s="62">
        <v>0.0</v>
      </c>
      <c r="E218" s="60"/>
      <c r="F218" s="61">
        <f t="shared" si="1"/>
        <v>45670.51312</v>
      </c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57" t="s">
        <v>471</v>
      </c>
      <c r="C219" s="58" t="str">
        <f>IFERROR(VLOOKUP(B219 ,INVENTARIO!$B$2:C994,2,0),"")</f>
        <v>reduccion hembra macho</v>
      </c>
      <c r="D219" s="62">
        <v>0.0</v>
      </c>
      <c r="E219" s="60"/>
      <c r="F219" s="61">
        <f t="shared" si="1"/>
        <v>45670.51324</v>
      </c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57" t="s">
        <v>472</v>
      </c>
      <c r="C220" s="58" t="str">
        <f>IFERROR(VLOOKUP(B220 ,INVENTARIO!$B$2:C994,2,0),"")</f>
        <v>reduccion hembra macho</v>
      </c>
      <c r="D220" s="62">
        <v>2.0</v>
      </c>
      <c r="E220" s="60"/>
      <c r="F220" s="61">
        <f t="shared" si="1"/>
        <v>45670.51332</v>
      </c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57" t="s">
        <v>473</v>
      </c>
      <c r="C221" s="58" t="str">
        <f>IFERROR(VLOOKUP(B221 ,INVENTARIO!$B$2:C994,2,0),"")</f>
        <v>union doble</v>
      </c>
      <c r="D221" s="62">
        <v>2.0</v>
      </c>
      <c r="E221" s="60"/>
      <c r="F221" s="61">
        <f t="shared" si="1"/>
        <v>45670.51341</v>
      </c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57" t="s">
        <v>474</v>
      </c>
      <c r="C222" s="58" t="str">
        <f>IFERROR(VLOOKUP(B222 ,INVENTARIO!$B$2:C994,2,0),"")</f>
        <v>union doble</v>
      </c>
      <c r="D222" s="62">
        <v>1.0</v>
      </c>
      <c r="E222" s="60"/>
      <c r="F222" s="61">
        <f t="shared" si="1"/>
        <v>45670.5135</v>
      </c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57" t="s">
        <v>475</v>
      </c>
      <c r="C223" s="58" t="str">
        <f>IFERROR(VLOOKUP(B223 ,INVENTARIO!$B$2:C994,2,0),"")</f>
        <v>union doble</v>
      </c>
      <c r="D223" s="62">
        <v>1.0</v>
      </c>
      <c r="E223" s="60"/>
      <c r="F223" s="61">
        <f t="shared" si="1"/>
        <v>45670.51359</v>
      </c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57" t="s">
        <v>476</v>
      </c>
      <c r="C224" s="58" t="str">
        <f>IFERROR(VLOOKUP(B224 ,INVENTARIO!$B$2:C994,2,0),"")</f>
        <v>union doble</v>
      </c>
      <c r="D224" s="62">
        <v>1.0</v>
      </c>
      <c r="E224" s="60"/>
      <c r="F224" s="61">
        <f t="shared" si="1"/>
        <v>45670.51369</v>
      </c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57" t="s">
        <v>477</v>
      </c>
      <c r="C225" s="58" t="str">
        <f>IFERROR(VLOOKUP(B225 ,INVENTARIO!$B$2:C994,2,0),"")</f>
        <v>union de manguera</v>
      </c>
      <c r="D225" s="62">
        <v>1.0</v>
      </c>
      <c r="E225" s="60"/>
      <c r="F225" s="61">
        <f t="shared" si="1"/>
        <v>45670.51378</v>
      </c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57" t="s">
        <v>479</v>
      </c>
      <c r="C226" s="58" t="str">
        <f>IFERROR(VLOOKUP(B226 ,INVENTARIO!$B$2:C994,2,0),"")</f>
        <v>union de manguera</v>
      </c>
      <c r="D226" s="63">
        <f>VALUE(TOTALES!E228)</f>
        <v>0</v>
      </c>
      <c r="E226" s="60"/>
      <c r="F226" s="61">
        <f t="shared" si="1"/>
        <v>45670.51395</v>
      </c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57" t="s">
        <v>480</v>
      </c>
      <c r="C227" s="58" t="str">
        <f>IFERROR(VLOOKUP(B227 ,INVENTARIO!$B$2:C994,2,0),"")</f>
        <v>union de manguera con rosca</v>
      </c>
      <c r="D227" s="63">
        <f>VALUE(TOTALES!E229)</f>
        <v>0</v>
      </c>
      <c r="E227" s="60"/>
      <c r="F227" s="61">
        <f t="shared" si="1"/>
        <v>45670.5141</v>
      </c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57" t="s">
        <v>482</v>
      </c>
      <c r="C228" s="58" t="str">
        <f>IFERROR(VLOOKUP(B228 ,INVENTARIO!$B$2:C994,2,0),"")</f>
        <v>caja de mando enbolsadora amf</v>
      </c>
      <c r="D228" s="63">
        <f>VALUE(TOTALES!E230)</f>
        <v>0</v>
      </c>
      <c r="E228" s="60"/>
      <c r="F228" s="61">
        <f t="shared" si="1"/>
        <v>45670.51428</v>
      </c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57" t="s">
        <v>484</v>
      </c>
      <c r="C229" s="58" t="str">
        <f>IFERROR(VLOOKUP(B229 ,INVENTARIO!$B$2:C994,2,0),"")</f>
        <v>R- 7,5 usado</v>
      </c>
      <c r="D229" s="64">
        <v>2.0</v>
      </c>
      <c r="E229" s="60"/>
      <c r="F229" s="61">
        <f t="shared" si="1"/>
        <v>45670.51438</v>
      </c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57" t="s">
        <v>486</v>
      </c>
      <c r="C230" s="58" t="str">
        <f>IFERROR(VLOOKUP(B230 ,INVENTARIO!$B$2:C994,2,0),"")</f>
        <v>R-7,5 Usado</v>
      </c>
      <c r="D230" s="65">
        <v>1.0</v>
      </c>
      <c r="E230" s="60"/>
      <c r="F230" s="61">
        <f t="shared" si="1"/>
        <v>45670.51449</v>
      </c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57" t="s">
        <v>484</v>
      </c>
      <c r="C231" s="58" t="str">
        <f>IFERROR(VLOOKUP(B231 ,INVENTARIO!$B$2:C994,2,0),"")</f>
        <v>R- 7,5 usado</v>
      </c>
      <c r="D231" s="65">
        <v>1.0</v>
      </c>
      <c r="E231" s="60"/>
      <c r="F231" s="61">
        <f t="shared" si="1"/>
        <v>45670.51458</v>
      </c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57" t="s">
        <v>489</v>
      </c>
      <c r="C232" s="58" t="str">
        <f>IFERROR(VLOOKUP(B232 ,INVENTARIO!$B$2:C994,2,0),"")</f>
        <v>R-7,5 Nuevo</v>
      </c>
      <c r="D232" s="65">
        <v>4.0</v>
      </c>
      <c r="E232" s="60"/>
      <c r="F232" s="61">
        <f t="shared" si="1"/>
        <v>45670.51471</v>
      </c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57" t="s">
        <v>490</v>
      </c>
      <c r="C233" s="58" t="str">
        <f>IFERROR(VLOOKUP(B233 ,INVENTARIO!$B$2:C994,2,0),"")</f>
        <v>R-60</v>
      </c>
      <c r="D233" s="65">
        <v>1.0</v>
      </c>
      <c r="E233" s="60"/>
      <c r="F233" s="61">
        <f t="shared" si="1"/>
        <v>45670.5148</v>
      </c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57" t="s">
        <v>492</v>
      </c>
      <c r="C234" s="58" t="str">
        <f>IFERROR(VLOOKUP(B234 ,INVENTARIO!$B$2:C994,2,0),"")</f>
        <v>R-1/30 (en tapas)</v>
      </c>
      <c r="D234" s="65">
        <v>1.0</v>
      </c>
      <c r="E234" s="60"/>
      <c r="F234" s="61">
        <f t="shared" si="1"/>
        <v>45670.5149</v>
      </c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57" t="s">
        <v>1897</v>
      </c>
      <c r="C235" s="58" t="str">
        <f>IFERROR(VLOOKUP(B235 ,INVENTARIO!$B$2:C994,2,0),"")</f>
        <v/>
      </c>
      <c r="D235" s="65">
        <v>1.0</v>
      </c>
      <c r="E235" s="60"/>
      <c r="F235" s="61">
        <f t="shared" si="1"/>
        <v>45670.51511</v>
      </c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57" t="s">
        <v>513</v>
      </c>
      <c r="C236" s="58" t="str">
        <f>IFERROR(VLOOKUP(B236 ,INVENTARIO!$B$2:C994,2,0),"")</f>
        <v>SALIDA REBANADORA</v>
      </c>
      <c r="D236" s="65">
        <v>2.0</v>
      </c>
      <c r="E236" s="60"/>
      <c r="F236" s="61">
        <f t="shared" si="1"/>
        <v>45670.51524</v>
      </c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57" t="s">
        <v>519</v>
      </c>
      <c r="C237" s="58" t="str">
        <f>IFERROR(VLOOKUP(B237 ,INVENTARIO!$B$2:C994,2,0),"")</f>
        <v>DOBLE NEUMAT PARA BANDEJAS DE BOLSAS AMF</v>
      </c>
      <c r="D237" s="65">
        <v>1.0</v>
      </c>
      <c r="E237" s="60"/>
      <c r="F237" s="61">
        <f t="shared" si="1"/>
        <v>45670.51538</v>
      </c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57" t="s">
        <v>521</v>
      </c>
      <c r="C238" s="58" t="str">
        <f>IFERROR(VLOOKUP(B238 ,INVENTARIO!$B$2:C994,2,0),"")</f>
        <v>VALVULA AGUJA PARA CALDERA</v>
      </c>
      <c r="D238" s="65">
        <v>1.0</v>
      </c>
      <c r="E238" s="60"/>
      <c r="F238" s="61">
        <f t="shared" si="1"/>
        <v>45670.51547</v>
      </c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57" t="s">
        <v>524</v>
      </c>
      <c r="C239" s="58" t="str">
        <f>IFERROR(VLOOKUP(B239 ,INVENTARIO!$B$2:C994,2,0),"")</f>
        <v>filtro regulador AMF bolleria FABRICACION</v>
      </c>
      <c r="D239" s="65">
        <v>1.0</v>
      </c>
      <c r="E239" s="60"/>
      <c r="F239" s="61">
        <f t="shared" si="1"/>
        <v>45670.51698</v>
      </c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57" t="s">
        <v>530</v>
      </c>
      <c r="C240" s="58" t="str">
        <f>IFERROR(VLOOKUP(B240 ,INVENTARIO!$B$2:C994,2,0),"")</f>
        <v>Bombas para agua</v>
      </c>
      <c r="D240" s="65">
        <v>2.0</v>
      </c>
      <c r="E240" s="60"/>
      <c r="F240" s="61">
        <f t="shared" si="1"/>
        <v>45670.51713</v>
      </c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57" t="s">
        <v>1140</v>
      </c>
      <c r="C241" s="58" t="str">
        <f>IFERROR(VLOOKUP(B241 ,INVENTARIO!$B$2:C994,2,0),"")</f>
        <v>KIT DE REP-K030A1</v>
      </c>
      <c r="D241" s="65">
        <v>2.0</v>
      </c>
      <c r="E241" s="60"/>
      <c r="F241" s="61">
        <f t="shared" si="1"/>
        <v>45670.51722</v>
      </c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57" t="s">
        <v>534</v>
      </c>
      <c r="C242" s="58" t="str">
        <f>IFERROR(VLOOKUP(B242 ,INVENTARIO!$B$2:C994,2,0),"")</f>
        <v>1090X50.8</v>
      </c>
      <c r="D242" s="64">
        <v>4.0</v>
      </c>
      <c r="E242" s="60"/>
      <c r="F242" s="61">
        <f t="shared" si="1"/>
        <v>45670.51732</v>
      </c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57" t="s">
        <v>536</v>
      </c>
      <c r="C243" s="58" t="str">
        <f>IFERROR(VLOOKUP(B243 ,INVENTARIO!$B$2:C994,2,0),"")</f>
        <v>1130X50.8</v>
      </c>
      <c r="D243" s="65">
        <v>2.0</v>
      </c>
      <c r="E243" s="60"/>
      <c r="F243" s="61">
        <f t="shared" si="1"/>
        <v>45670.5174</v>
      </c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57" t="s">
        <v>538</v>
      </c>
      <c r="C244" s="58" t="str">
        <f>IFERROR(VLOOKUP(B244 ,INVENTARIO!$B$2:C994,2,0),"")</f>
        <v>diam-100-long-1095</v>
      </c>
      <c r="D244" s="65">
        <v>0.0</v>
      </c>
      <c r="E244" s="60"/>
      <c r="F244" s="61">
        <f t="shared" si="1"/>
        <v>45670.52182</v>
      </c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57" t="s">
        <v>541</v>
      </c>
      <c r="C245" s="58" t="str">
        <f>IFERROR(VLOOKUP(B245 ,INVENTARIO!$B$2:C994,2,0),"")</f>
        <v>diam-100-long-950</v>
      </c>
      <c r="D245" s="65">
        <v>1.0</v>
      </c>
      <c r="E245" s="60"/>
      <c r="F245" s="61">
        <f t="shared" si="1"/>
        <v>45670.52195</v>
      </c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57" t="s">
        <v>544</v>
      </c>
      <c r="C246" s="58" t="str">
        <f>IFERROR(VLOOKUP(B246 ,INVENTARIO!$B$2:C994,2,0),"")</f>
        <v>diam-32-long-575</v>
      </c>
      <c r="D246" s="65">
        <v>0.0</v>
      </c>
      <c r="E246" s="60"/>
      <c r="F246" s="61">
        <f t="shared" si="1"/>
        <v>45670.52205</v>
      </c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57" t="s">
        <v>547</v>
      </c>
      <c r="C247" s="58" t="str">
        <f>IFERROR(VLOOKUP(B247 ,INVENTARIO!$B$2:C994,2,0),"")</f>
        <v>diam-46.5-long-545</v>
      </c>
      <c r="D247" s="65">
        <v>0.0</v>
      </c>
      <c r="E247" s="60"/>
      <c r="F247" s="61">
        <f t="shared" si="1"/>
        <v>45670.52216</v>
      </c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57" t="s">
        <v>550</v>
      </c>
      <c r="C248" s="58" t="str">
        <f>IFERROR(VLOOKUP(B248 ,INVENTARIO!$B$2:C994,2,0),"")</f>
        <v>de rodillo-tensor</v>
      </c>
      <c r="D248" s="65">
        <v>1.0</v>
      </c>
      <c r="E248" s="60"/>
      <c r="F248" s="61">
        <f t="shared" si="1"/>
        <v>45670.52231</v>
      </c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57" t="s">
        <v>553</v>
      </c>
      <c r="C249" s="58" t="str">
        <f>IFERROR(VLOOKUP(B249 ,INVENTARIO!$B$2:C994,2,0),"")</f>
        <v>de rodillo-guia</v>
      </c>
      <c r="D249" s="65">
        <v>1.0</v>
      </c>
      <c r="E249" s="60"/>
      <c r="F249" s="61">
        <f t="shared" si="1"/>
        <v>45670.52306</v>
      </c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57" t="s">
        <v>555</v>
      </c>
      <c r="C250" s="58" t="str">
        <f>IFERROR(VLOOKUP(B250 ,INVENTARIO!$B$2:C994,2,0),"")</f>
        <v>diam-48 long-560</v>
      </c>
      <c r="D250" s="65">
        <v>0.0</v>
      </c>
      <c r="E250" s="60"/>
      <c r="F250" s="61">
        <f t="shared" si="1"/>
        <v>45670.52376</v>
      </c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57" t="s">
        <v>558</v>
      </c>
      <c r="C251" s="58" t="str">
        <f>IFERROR(VLOOKUP(B251 ,INVENTARIO!$B$2:C994,2,0),"")</f>
        <v>diam-48 long-475</v>
      </c>
      <c r="D251" s="65">
        <v>0.0</v>
      </c>
      <c r="E251" s="60"/>
      <c r="F251" s="61">
        <f t="shared" si="1"/>
        <v>45670.52611</v>
      </c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57" t="s">
        <v>561</v>
      </c>
      <c r="C252" s="58" t="str">
        <f>IFERROR(VLOOKUP(B252 ,INVENTARIO!$B$2:C994,2,0),"")</f>
        <v>eje para bandas</v>
      </c>
      <c r="D252" s="65">
        <v>2.0</v>
      </c>
      <c r="E252" s="60"/>
      <c r="F252" s="61">
        <f t="shared" si="1"/>
        <v>45670.52624</v>
      </c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57" t="s">
        <v>567</v>
      </c>
      <c r="C253" s="58" t="str">
        <f>IFERROR(VLOOKUP(B253 ,INVENTARIO!$B$2:C994,2,0),"")</f>
        <v>filtro de gasoil</v>
      </c>
      <c r="D253" s="65">
        <v>1.0</v>
      </c>
      <c r="E253" s="60"/>
      <c r="F253" s="61">
        <f t="shared" si="1"/>
        <v>45670.52645</v>
      </c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57" t="s">
        <v>573</v>
      </c>
      <c r="C254" s="58" t="str">
        <f>IFERROR(VLOOKUP(B254 ,INVENTARIO!$B$2:C994,2,0),"")</f>
        <v>Bomba de vacío piabe</v>
      </c>
      <c r="D254" s="65">
        <v>1.0</v>
      </c>
      <c r="E254" s="60"/>
      <c r="F254" s="61">
        <f t="shared" si="1"/>
        <v>45670.52671</v>
      </c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57" t="s">
        <v>576</v>
      </c>
      <c r="C255" s="58" t="str">
        <f>IFERROR(VLOOKUP(B255 ,INVENTARIO!$B$2:C994,2,0),"")</f>
        <v>Bomba de agua pelton para caldera reparada</v>
      </c>
      <c r="D255" s="65">
        <v>1.0</v>
      </c>
      <c r="E255" s="60"/>
      <c r="F255" s="61">
        <f t="shared" si="1"/>
        <v>45670.52682</v>
      </c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57" t="s">
        <v>579</v>
      </c>
      <c r="C256" s="58" t="str">
        <f>IFERROR(VLOOKUP(B256 ,INVENTARIO!$B$2:C994,2,0),"")</f>
        <v>embrague camión mercedez benz</v>
      </c>
      <c r="D256" s="65">
        <v>1.0</v>
      </c>
      <c r="E256" s="60"/>
      <c r="F256" s="61">
        <f t="shared" si="1"/>
        <v>45670.52957</v>
      </c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57" t="s">
        <v>582</v>
      </c>
      <c r="C257" s="58" t="str">
        <f>IFERROR(VLOOKUP(B257 ,INVENTARIO!$B$2:C994,2,0),"")</f>
        <v>Puente -cardan</v>
      </c>
      <c r="D257" s="65">
        <v>1.0</v>
      </c>
      <c r="E257" s="60"/>
      <c r="F257" s="61">
        <f t="shared" si="1"/>
        <v>45670.5297</v>
      </c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57" t="s">
        <v>584</v>
      </c>
      <c r="C258" s="58" t="str">
        <f>IFERROR(VLOOKUP(B258 ,INVENTARIO!$B$2:C994,2,0),"")</f>
        <v>burro-de arranque</v>
      </c>
      <c r="D258" s="65">
        <v>1.0</v>
      </c>
      <c r="E258" s="60"/>
      <c r="F258" s="61">
        <f t="shared" si="1"/>
        <v>45670.5298</v>
      </c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57" t="s">
        <v>586</v>
      </c>
      <c r="C259" s="58" t="str">
        <f>IFERROR(VLOOKUP(B259 ,INVENTARIO!$B$2:C994,2,0),"")</f>
        <v>alternador-corriente</v>
      </c>
      <c r="D259" s="65">
        <v>1.0</v>
      </c>
      <c r="E259" s="60"/>
      <c r="F259" s="61">
        <f t="shared" si="1"/>
        <v>45670.5299</v>
      </c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57" t="s">
        <v>588</v>
      </c>
      <c r="C260" s="58" t="str">
        <f>IFERROR(VLOOKUP(B260 ,INVENTARIO!$B$2:C994,2,0),"")</f>
        <v>intercambiador</v>
      </c>
      <c r="D260" s="65">
        <v>2.0</v>
      </c>
      <c r="E260" s="60"/>
      <c r="F260" s="61">
        <f t="shared" si="1"/>
        <v>45670.53</v>
      </c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57" t="s">
        <v>591</v>
      </c>
      <c r="C261" s="58" t="str">
        <f>IFERROR(VLOOKUP(B261 ,INVENTARIO!$B$2:C994,2,0),"")</f>
        <v>corona/76 dientes</v>
      </c>
      <c r="D261" s="65">
        <v>1.0</v>
      </c>
      <c r="E261" s="60"/>
      <c r="F261" s="61">
        <f t="shared" si="1"/>
        <v>45670.53013</v>
      </c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57" t="s">
        <v>594</v>
      </c>
      <c r="C262" s="58" t="str">
        <f>IFERROR(VLOOKUP(B262 ,INVENTARIO!$B$2:C994,2,0),"")</f>
        <v>corona/72-dientes</v>
      </c>
      <c r="D262" s="65">
        <v>2.0</v>
      </c>
      <c r="E262" s="60"/>
      <c r="F262" s="61">
        <f t="shared" si="1"/>
        <v>45670.53033</v>
      </c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57" t="s">
        <v>597</v>
      </c>
      <c r="C263" s="58" t="str">
        <f>IFERROR(VLOOKUP(B263 ,INVENTARIO!$B$2:C994,2,0),"")</f>
        <v>diam-100-long-610</v>
      </c>
      <c r="D263" s="65">
        <v>4.0</v>
      </c>
      <c r="E263" s="60"/>
      <c r="F263" s="61">
        <f t="shared" si="1"/>
        <v>45670.53041</v>
      </c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57" t="s">
        <v>600</v>
      </c>
      <c r="C264" s="58" t="str">
        <f>IFERROR(VLOOKUP(B264 ,INVENTARIO!$B$2:C994,2,0),"")</f>
        <v>diam-100-long-590</v>
      </c>
      <c r="D264" s="65">
        <v>1.0</v>
      </c>
      <c r="E264" s="60"/>
      <c r="F264" s="61">
        <f t="shared" si="1"/>
        <v>45670.5343</v>
      </c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57" t="s">
        <v>603</v>
      </c>
      <c r="C265" s="58" t="str">
        <f>IFERROR(VLOOKUP(B265 ,INVENTARIO!$B$2:C994,2,0),"")</f>
        <v>diam-47-long-400</v>
      </c>
      <c r="D265" s="65">
        <v>1.0</v>
      </c>
      <c r="E265" s="60"/>
      <c r="F265" s="61">
        <f t="shared" si="1"/>
        <v>45670.53438</v>
      </c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57" t="s">
        <v>606</v>
      </c>
      <c r="C266" s="58" t="str">
        <f>IFERROR(VLOOKUP(B266 ,INVENTARIO!$B$2:C994,2,0),"")</f>
        <v>diam-48-long-540</v>
      </c>
      <c r="D266" s="65">
        <v>0.0</v>
      </c>
      <c r="E266" s="60"/>
      <c r="F266" s="61">
        <f t="shared" si="1"/>
        <v>45670.53448</v>
      </c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57" t="s">
        <v>609</v>
      </c>
      <c r="C267" s="58" t="str">
        <f>IFERROR(VLOOKUP(B267 ,INVENTARIO!$B$2:C994,2,0),"")</f>
        <v>diam-48.6-long-435</v>
      </c>
      <c r="D267" s="65">
        <v>2.0</v>
      </c>
      <c r="E267" s="60"/>
      <c r="F267" s="61">
        <f t="shared" si="1"/>
        <v>45670.53456</v>
      </c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57" t="s">
        <v>612</v>
      </c>
      <c r="C268" s="58" t="str">
        <f>IFERROR(VLOOKUP(B268 ,INVENTARIO!$B$2:C994,2,0),"")</f>
        <v>diam- -long-610</v>
      </c>
      <c r="D268" s="65">
        <v>0.0</v>
      </c>
      <c r="E268" s="60"/>
      <c r="F268" s="61">
        <f t="shared" si="1"/>
        <v>45670.53465</v>
      </c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57" t="s">
        <v>615</v>
      </c>
      <c r="C269" s="58" t="str">
        <f>IFERROR(VLOOKUP(B269 ,INVENTARIO!$B$2:C994,2,0),"")</f>
        <v>diam-48-long-465</v>
      </c>
      <c r="D269" s="65">
        <v>2.0</v>
      </c>
      <c r="E269" s="60"/>
      <c r="F269" s="61">
        <f t="shared" si="1"/>
        <v>45670.53477</v>
      </c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57" t="s">
        <v>618</v>
      </c>
      <c r="C270" s="58" t="str">
        <f>IFERROR(VLOOKUP(B270 ,INVENTARIO!$B$2:C994,2,0),"")</f>
        <v>diam-48.6 long-400</v>
      </c>
      <c r="D270" s="65">
        <v>1.0</v>
      </c>
      <c r="E270" s="60"/>
      <c r="F270" s="61">
        <f t="shared" si="1"/>
        <v>45670.53498</v>
      </c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57" t="s">
        <v>620</v>
      </c>
      <c r="C271" s="58" t="str">
        <f>IFERROR(VLOOKUP(B271 ,INVENTARIO!$B$2:C994,2,0),"")</f>
        <v>diam-47-long-310</v>
      </c>
      <c r="D271" s="65">
        <v>1.0</v>
      </c>
      <c r="E271" s="60"/>
      <c r="F271" s="61">
        <f t="shared" si="1"/>
        <v>45670.53511</v>
      </c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57" t="s">
        <v>623</v>
      </c>
      <c r="C272" s="58" t="str">
        <f>IFERROR(VLOOKUP(B272 ,INVENTARIO!$B$2:C994,2,0),"")</f>
        <v>diam- -long-515</v>
      </c>
      <c r="D272" s="65">
        <v>0.0</v>
      </c>
      <c r="E272" s="60"/>
      <c r="F272" s="61">
        <f t="shared" si="1"/>
        <v>45670.53522</v>
      </c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57" t="s">
        <v>626</v>
      </c>
      <c r="C273" s="58" t="str">
        <f>IFERROR(VLOOKUP(B273 ,INVENTARIO!$B$2:C994,2,0),"")</f>
        <v>cuchilla con guias</v>
      </c>
      <c r="D273" s="65">
        <v>1.0</v>
      </c>
      <c r="E273" s="60"/>
      <c r="F273" s="61">
        <f t="shared" si="1"/>
        <v>45670.53531</v>
      </c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57" t="s">
        <v>629</v>
      </c>
      <c r="C274" s="58" t="str">
        <f>IFERROR(VLOOKUP(B274 ,INVENTARIO!$B$2:C994,2,0),"")</f>
        <v>val-seg- 3,1kg</v>
      </c>
      <c r="D274" s="65">
        <v>2.0</v>
      </c>
      <c r="E274" s="60"/>
      <c r="F274" s="61">
        <f t="shared" si="1"/>
        <v>45670.53709</v>
      </c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57" t="s">
        <v>632</v>
      </c>
      <c r="C275" s="58" t="str">
        <f>IFERROR(VLOOKUP(B275 ,INVENTARIO!$B$2:C994,2,0),"")</f>
        <v>val-seg-11kg</v>
      </c>
      <c r="D275" s="65">
        <v>1.0</v>
      </c>
      <c r="E275" s="60"/>
      <c r="F275" s="61">
        <f t="shared" si="1"/>
        <v>45670.53719</v>
      </c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57" t="s">
        <v>637</v>
      </c>
      <c r="C276" s="58" t="str">
        <f>IFERROR(VLOOKUP(B276 ,INVENTARIO!$B$2:C994,2,0),"")</f>
        <v>chupetes- nuevos</v>
      </c>
      <c r="D276" s="65">
        <v>80.0</v>
      </c>
      <c r="E276" s="60"/>
      <c r="F276" s="61">
        <f t="shared" si="1"/>
        <v>45670.5373</v>
      </c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57" t="s">
        <v>640</v>
      </c>
      <c r="C277" s="58" t="str">
        <f>IFERROR(VLOOKUP(B277 ,INVENTARIO!$B$2:C994,2,0),"")</f>
        <v>chupetes usados</v>
      </c>
      <c r="D277" s="66">
        <v>0.0</v>
      </c>
      <c r="E277" s="60"/>
      <c r="F277" s="61">
        <f t="shared" si="1"/>
        <v>45670.53745</v>
      </c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57" t="s">
        <v>643</v>
      </c>
      <c r="C278" s="58" t="str">
        <f>IFERROR(VLOOKUP(B278 ,INVENTARIO!$B$2:C994,2,0),"")</f>
        <v>soportes usados</v>
      </c>
      <c r="D278" s="64">
        <v>15.0</v>
      </c>
      <c r="E278" s="60"/>
      <c r="F278" s="61">
        <f t="shared" si="1"/>
        <v>45670.53754</v>
      </c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57" t="s">
        <v>646</v>
      </c>
      <c r="C279" s="58" t="str">
        <f>IFERROR(VLOOKUP(B279 ,INVENTARIO!$B$2:C994,2,0),"")</f>
        <v>PORTA ROD-LAM-</v>
      </c>
      <c r="D279" s="65">
        <v>4.0</v>
      </c>
      <c r="E279" s="60"/>
      <c r="F279" s="61">
        <f t="shared" si="1"/>
        <v>45670.5381</v>
      </c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57" t="s">
        <v>649</v>
      </c>
      <c r="C280" s="58" t="str">
        <f>IFERROR(VLOOKUP(B280 ,INVENTARIO!$B$2:C994,2,0),"")</f>
        <v>340X4080mm</v>
      </c>
      <c r="D280" s="65">
        <v>0.0</v>
      </c>
      <c r="E280" s="60"/>
      <c r="F280" s="61">
        <f t="shared" si="1"/>
        <v>45670.53829</v>
      </c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57" t="s">
        <v>652</v>
      </c>
      <c r="C281" s="58" t="str">
        <f>IFERROR(VLOOKUP(B281 ,INVENTARIO!$B$2:C994,2,0),"")</f>
        <v>340x7430mm</v>
      </c>
      <c r="D281" s="65">
        <v>1.0</v>
      </c>
      <c r="E281" s="60"/>
      <c r="F281" s="61">
        <f t="shared" si="1"/>
        <v>45670.53843</v>
      </c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57" t="s">
        <v>654</v>
      </c>
      <c r="C282" s="58" t="str">
        <f>IFERROR(VLOOKUP(B282 ,INVENTARIO!$B$2:C994,2,0),"")</f>
        <v>340x4750mm</v>
      </c>
      <c r="D282" s="65">
        <v>0.0</v>
      </c>
      <c r="E282" s="60"/>
      <c r="F282" s="61">
        <f t="shared" si="1"/>
        <v>45670.53854</v>
      </c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57" t="s">
        <v>656</v>
      </c>
      <c r="C283" s="58" t="str">
        <f>IFERROR(VLOOKUP(B283 ,INVENTARIO!$B$2:C994,2,0),"")</f>
        <v>340x4250mm</v>
      </c>
      <c r="D283" s="65">
        <v>0.0</v>
      </c>
      <c r="E283" s="60"/>
      <c r="F283" s="61">
        <f t="shared" si="1"/>
        <v>45670.53869</v>
      </c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57" t="s">
        <v>658</v>
      </c>
      <c r="C284" s="58" t="str">
        <f>IFERROR(VLOOKUP(B284 ,INVENTARIO!$B$2:C994,2,0),"")</f>
        <v>230X3890mm</v>
      </c>
      <c r="D284" s="67"/>
      <c r="E284" s="60"/>
      <c r="F284" s="61">
        <f t="shared" si="1"/>
        <v>45670.53894</v>
      </c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57" t="s">
        <v>660</v>
      </c>
      <c r="C285" s="58" t="str">
        <f>IFERROR(VLOOKUP(B285 ,INVENTARIO!$B$2:C994,2,0),"")</f>
        <v>230X1510mm</v>
      </c>
      <c r="D285" s="65">
        <v>0.0</v>
      </c>
      <c r="E285" s="60"/>
      <c r="F285" s="61">
        <f t="shared" si="1"/>
        <v>45670.53902</v>
      </c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57" t="s">
        <v>662</v>
      </c>
      <c r="C286" s="58" t="str">
        <f>IFERROR(VLOOKUP(B286 ,INVENTARIO!$B$2:C994,2,0),"")</f>
        <v>400X2500mm x2</v>
      </c>
      <c r="D286" s="65">
        <v>1.0</v>
      </c>
      <c r="E286" s="60"/>
      <c r="F286" s="61">
        <f t="shared" si="1"/>
        <v>45670.5391</v>
      </c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57" t="s">
        <v>665</v>
      </c>
      <c r="C287" s="58" t="str">
        <f>IFERROR(VLOOKUP(B287 ,INVENTARIO!$B$2:C994,2,0),"")</f>
        <v>400X8010mm</v>
      </c>
      <c r="D287" s="65">
        <v>1.0</v>
      </c>
      <c r="E287" s="60"/>
      <c r="F287" s="61">
        <f t="shared" si="1"/>
        <v>45670.5392</v>
      </c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57" t="s">
        <v>668</v>
      </c>
      <c r="C288" s="58" t="str">
        <f>IFERROR(VLOOKUP(B288 ,INVENTARIO!$B$2:C994,2,0),"")</f>
        <v>400X8400mm</v>
      </c>
      <c r="D288" s="65">
        <v>0.0</v>
      </c>
      <c r="E288" s="60"/>
      <c r="F288" s="61">
        <f t="shared" si="1"/>
        <v>45670.53928</v>
      </c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57" t="s">
        <v>671</v>
      </c>
      <c r="C289" s="58" t="str">
        <f>IFERROR(VLOOKUP(B289 ,INVENTARIO!$B$2:C994,2,0),"")</f>
        <v>800X8050mm</v>
      </c>
      <c r="D289" s="65">
        <v>1.0</v>
      </c>
      <c r="E289" s="60"/>
      <c r="F289" s="61">
        <f t="shared" si="1"/>
        <v>45670.53941</v>
      </c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57" t="s">
        <v>674</v>
      </c>
      <c r="C290" s="58" t="str">
        <f>IFERROR(VLOOKUP(B290 ,INVENTARIO!$B$2:C994,2,0),"")</f>
        <v>340X2460mm</v>
      </c>
      <c r="D290" s="65">
        <v>0.0</v>
      </c>
      <c r="E290" s="60"/>
      <c r="F290" s="61">
        <f t="shared" si="1"/>
        <v>45670.53955</v>
      </c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57" t="s">
        <v>677</v>
      </c>
      <c r="C291" s="58" t="str">
        <f>IFERROR(VLOOKUP(B291 ,INVENTARIO!$B$2:C994,2,0),"")</f>
        <v>340X850mm x2</v>
      </c>
      <c r="D291" s="65">
        <v>0.0</v>
      </c>
      <c r="E291" s="60"/>
      <c r="F291" s="61">
        <f t="shared" si="1"/>
        <v>45670.53963</v>
      </c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57" t="s">
        <v>680</v>
      </c>
      <c r="C292" s="58" t="str">
        <f>IFERROR(VLOOKUP(B292 ,INVENTARIO!$B$2:C994,2,0),"")</f>
        <v>890X1700mm</v>
      </c>
      <c r="D292" s="65">
        <v>1.0</v>
      </c>
      <c r="E292" s="60"/>
      <c r="F292" s="61">
        <f t="shared" si="1"/>
        <v>45670.53972</v>
      </c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57" t="s">
        <v>683</v>
      </c>
      <c r="C293" s="58" t="str">
        <f>IFERROR(VLOOKUP(B293 ,INVENTARIO!$B$2:C994,2,0),"")</f>
        <v>520X670mm</v>
      </c>
      <c r="D293" s="65">
        <v>1.0</v>
      </c>
      <c r="E293" s="60"/>
      <c r="F293" s="61">
        <f t="shared" si="1"/>
        <v>45670.54025</v>
      </c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57" t="s">
        <v>686</v>
      </c>
      <c r="C294" s="58" t="str">
        <f>IFERROR(VLOOKUP(B294 ,INVENTARIO!$B$2:C994,2,0),"")</f>
        <v>770X3580mm</v>
      </c>
      <c r="D294" s="65">
        <v>1.0</v>
      </c>
      <c r="E294" s="60"/>
      <c r="F294" s="61">
        <f t="shared" si="1"/>
        <v>45670.5404</v>
      </c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57" t="s">
        <v>695</v>
      </c>
      <c r="C295" s="58" t="str">
        <f>IFERROR(VLOOKUP(B295 ,INVENTARIO!$B$2:C994,2,0),"")</f>
        <v>1000X250mm</v>
      </c>
      <c r="D295" s="65">
        <v>0.0</v>
      </c>
      <c r="E295" s="60"/>
      <c r="F295" s="61">
        <f t="shared" si="1"/>
        <v>45670.54085</v>
      </c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57" t="s">
        <v>698</v>
      </c>
      <c r="C296" s="58" t="str">
        <f>IFERROR(VLOOKUP(B296 ,INVENTARIO!$B$2:C994,2,0),"")</f>
        <v>1090X180mm</v>
      </c>
      <c r="D296" s="65">
        <v>0.0</v>
      </c>
      <c r="E296" s="60"/>
      <c r="F296" s="61">
        <f t="shared" si="1"/>
        <v>45670.54103</v>
      </c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57" t="s">
        <v>704</v>
      </c>
      <c r="C297" s="58" t="str">
        <f>IFERROR(VLOOKUP(B297 ,INVENTARIO!$B$2:C994,2,0),"")</f>
        <v>Banda para desmoldador perforada, falta relevamiento de medidasssss</v>
      </c>
      <c r="D297" s="65">
        <v>0.0</v>
      </c>
      <c r="E297" s="60"/>
      <c r="F297" s="61">
        <f t="shared" si="1"/>
        <v>45670.54188</v>
      </c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57" t="s">
        <v>707</v>
      </c>
      <c r="C298" s="58" t="str">
        <f>IFERROR(VLOOKUP(B298 ,INVENTARIO!$B$2:C994,2,0),"")</f>
        <v>400X4000MM</v>
      </c>
      <c r="D298" s="65">
        <v>2.0</v>
      </c>
      <c r="E298" s="60"/>
      <c r="F298" s="61">
        <f t="shared" si="1"/>
        <v>45670.54198</v>
      </c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57" t="s">
        <v>707</v>
      </c>
      <c r="C299" s="58" t="str">
        <f>IFERROR(VLOOKUP(B299 ,INVENTARIO!$B$2:C994,2,0),"")</f>
        <v>400X4000MM</v>
      </c>
      <c r="D299" s="65">
        <v>0.0</v>
      </c>
      <c r="E299" s="60"/>
      <c r="F299" s="61">
        <f t="shared" si="1"/>
        <v>45670.54215</v>
      </c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57" t="s">
        <v>1898</v>
      </c>
      <c r="C300" s="58" t="str">
        <f>IFERROR(VLOOKUP(B300 ,INVENTARIO!$B$2:C994,2,0),"")</f>
        <v/>
      </c>
      <c r="D300" s="65">
        <v>1.0</v>
      </c>
      <c r="E300" s="60"/>
      <c r="F300" s="61">
        <f t="shared" si="1"/>
        <v>45670.54231</v>
      </c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57" t="s">
        <v>714</v>
      </c>
      <c r="C301" s="58" t="str">
        <f>IFERROR(VLOOKUP(B301 ,INVENTARIO!$B$2:C994,2,0),"")</f>
        <v>50-PPVA-N3</v>
      </c>
      <c r="D301" s="65">
        <v>1.0</v>
      </c>
      <c r="E301" s="60"/>
      <c r="F301" s="61">
        <f t="shared" si="1"/>
        <v>45670.54242</v>
      </c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57" t="s">
        <v>717</v>
      </c>
      <c r="C302" s="58" t="str">
        <f>IFERROR(VLOOKUP(B302 ,INVENTARIO!$B$2:C994,2,0),"")</f>
        <v>SNCB-32</v>
      </c>
      <c r="D302" s="65">
        <v>1.0</v>
      </c>
      <c r="E302" s="60"/>
      <c r="F302" s="61">
        <f t="shared" si="1"/>
        <v>45670.54256</v>
      </c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57" t="s">
        <v>718</v>
      </c>
      <c r="C303" s="58" t="str">
        <f>IFERROR(VLOOKUP(B303 ,INVENTARIO!$B$2:C994,2,0),"")</f>
        <v>SG-M10x1,25</v>
      </c>
      <c r="D303" s="65">
        <v>4.0</v>
      </c>
      <c r="E303" s="60"/>
      <c r="F303" s="61">
        <f t="shared" si="1"/>
        <v>45670.54279</v>
      </c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57" t="s">
        <v>719</v>
      </c>
      <c r="C304" s="58" t="str">
        <f>IFERROR(VLOOKUP(B304 ,INVENTARIO!$B$2:C994,2,0),"")</f>
        <v>Kit de reparacion</v>
      </c>
      <c r="D304" s="65">
        <v>2.0</v>
      </c>
      <c r="E304" s="60"/>
      <c r="F304" s="61">
        <f t="shared" si="1"/>
        <v>45670.54303</v>
      </c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57" t="s">
        <v>722</v>
      </c>
      <c r="C305" s="58" t="str">
        <f>IFERROR(VLOOKUP(B305 ,INVENTARIO!$B$2:C994,2,0),"")</f>
        <v>CP96SDB40-25C</v>
      </c>
      <c r="D305" s="65">
        <v>1.0</v>
      </c>
      <c r="E305" s="60"/>
      <c r="F305" s="61">
        <f t="shared" si="1"/>
        <v>45670.59892</v>
      </c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57" t="s">
        <v>725</v>
      </c>
      <c r="C306" s="58" t="str">
        <f>IFERROR(VLOOKUP(B306 ,INVENTARIO!$B$2:C994,2,0),"")</f>
        <v>piston</v>
      </c>
      <c r="D306" s="65">
        <v>3.0</v>
      </c>
      <c r="E306" s="60"/>
      <c r="F306" s="61">
        <f t="shared" si="1"/>
        <v>45670.59913</v>
      </c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57" t="s">
        <v>728</v>
      </c>
      <c r="C307" s="58" t="str">
        <f>IFERROR(VLOOKUP(B307 ,INVENTARIO!$B$2:C994,2,0),"")</f>
        <v>Discos- Alipak</v>
      </c>
      <c r="D307" s="65">
        <v>0.0</v>
      </c>
      <c r="E307" s="60"/>
      <c r="F307" s="61">
        <f t="shared" si="1"/>
        <v>45670.60009</v>
      </c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57" t="s">
        <v>731</v>
      </c>
      <c r="C308" s="58" t="str">
        <f>IFERROR(VLOOKUP(B308 ,INVENTARIO!$B$2:C994,2,0),"")</f>
        <v>Encausadores</v>
      </c>
      <c r="D308" s="65">
        <v>4.0</v>
      </c>
      <c r="E308" s="60"/>
      <c r="F308" s="61">
        <f t="shared" si="1"/>
        <v>45670.60019</v>
      </c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57" t="s">
        <v>734</v>
      </c>
      <c r="C309" s="58" t="str">
        <f>IFERROR(VLOOKUP(B309 ,INVENTARIO!$B$2:C994,2,0),"")</f>
        <v>estrella dentada</v>
      </c>
      <c r="D309" s="65">
        <v>1.0</v>
      </c>
      <c r="E309" s="60"/>
      <c r="F309" s="61">
        <f t="shared" si="1"/>
        <v>45670.6003</v>
      </c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57" t="s">
        <v>737</v>
      </c>
      <c r="C310" s="58" t="str">
        <f>IFERROR(VLOOKUP(B310 ,INVENTARIO!$B$2:C994,2,0),"")</f>
        <v>plasticos</v>
      </c>
      <c r="D310" s="65">
        <v>12.0</v>
      </c>
      <c r="E310" s="60"/>
      <c r="F310" s="61">
        <f t="shared" si="1"/>
        <v>45670.60043</v>
      </c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57" t="s">
        <v>740</v>
      </c>
      <c r="C311" s="58" t="str">
        <f>IFERROR(VLOOKUP(B311 ,INVENTARIO!$B$2:C994,2,0),"")</f>
        <v>paso 60-eje 20mm</v>
      </c>
      <c r="D311" s="65">
        <v>4.0</v>
      </c>
      <c r="E311" s="60"/>
      <c r="F311" s="61">
        <f t="shared" si="1"/>
        <v>45670.6027</v>
      </c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57" t="s">
        <v>743</v>
      </c>
      <c r="C312" s="58" t="str">
        <f>IFERROR(VLOOKUP(B312 ,INVENTARIO!$B$2:C994,2,0),"")</f>
        <v>40x100</v>
      </c>
      <c r="D312" s="65">
        <v>38.0</v>
      </c>
      <c r="E312" s="60"/>
      <c r="F312" s="61">
        <f t="shared" si="1"/>
        <v>45670.6028</v>
      </c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57" t="s">
        <v>746</v>
      </c>
      <c r="C313" s="58" t="str">
        <f>IFERROR(VLOOKUP(B313 ,INVENTARIO!$B$2:C994,2,0),"")</f>
        <v/>
      </c>
      <c r="D313" s="65">
        <v>21.0</v>
      </c>
      <c r="E313" s="60"/>
      <c r="F313" s="61">
        <f t="shared" si="1"/>
        <v>45670.60292</v>
      </c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57" t="s">
        <v>748</v>
      </c>
      <c r="C314" s="58" t="str">
        <f>IFERROR(VLOOKUP(B314 ,INVENTARIO!$B$2:C994,2,0),"")</f>
        <v/>
      </c>
      <c r="D314" s="65">
        <v>15.0</v>
      </c>
      <c r="E314" s="60"/>
      <c r="F314" s="61">
        <f t="shared" si="1"/>
        <v>45670.60301</v>
      </c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57" t="s">
        <v>750</v>
      </c>
      <c r="C315" s="58" t="str">
        <f>IFERROR(VLOOKUP(B315 ,INVENTARIO!$B$2:C994,2,0),"")</f>
        <v/>
      </c>
      <c r="D315" s="65">
        <v>26.0</v>
      </c>
      <c r="E315" s="60"/>
      <c r="F315" s="61">
        <f t="shared" si="1"/>
        <v>45670.6031</v>
      </c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57" t="s">
        <v>751</v>
      </c>
      <c r="C316" s="58" t="str">
        <f>IFERROR(VLOOKUP(B316 ,INVENTARIO!$B$2:C994,2,0),"")</f>
        <v>manguera alta pre-</v>
      </c>
      <c r="D316" s="65">
        <v>1.0</v>
      </c>
      <c r="E316" s="60"/>
      <c r="F316" s="61">
        <f t="shared" si="1"/>
        <v>45670.60324</v>
      </c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57" t="s">
        <v>754</v>
      </c>
      <c r="C317" s="58" t="str">
        <f>IFERROR(VLOOKUP(B317 ,INVENTARIO!$B$2:C994,2,0),"")</f>
        <v>soporte para sensor</v>
      </c>
      <c r="D317" s="65">
        <v>5.0</v>
      </c>
      <c r="E317" s="60"/>
      <c r="F317" s="61">
        <f t="shared" si="1"/>
        <v>45670.60337</v>
      </c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57" t="s">
        <v>766</v>
      </c>
      <c r="C318" s="58" t="str">
        <f>IFERROR(VLOOKUP(B318 ,INVENTARIO!$B$2:C994,2,0),"")</f>
        <v>recto</v>
      </c>
      <c r="D318" s="65">
        <v>1.0</v>
      </c>
      <c r="E318" s="60"/>
      <c r="F318" s="61">
        <f t="shared" si="1"/>
        <v>45670.60349</v>
      </c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57" t="s">
        <v>768</v>
      </c>
      <c r="C319" s="58" t="str">
        <f>IFERROR(VLOOKUP(B319 ,INVENTARIO!$B$2:C994,2,0),"")</f>
        <v>recto</v>
      </c>
      <c r="D319" s="65">
        <v>6.0</v>
      </c>
      <c r="E319" s="60"/>
      <c r="F319" s="61">
        <f t="shared" si="1"/>
        <v>45670.60367</v>
      </c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57" t="s">
        <v>769</v>
      </c>
      <c r="C320" s="58" t="str">
        <f>IFERROR(VLOOKUP(B320 ,INVENTARIO!$B$2:C994,2,0),"")</f>
        <v>codos</v>
      </c>
      <c r="D320" s="65">
        <v>4.0</v>
      </c>
      <c r="E320" s="60"/>
      <c r="F320" s="61">
        <f t="shared" si="1"/>
        <v>45670.60377</v>
      </c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57" t="s">
        <v>770</v>
      </c>
      <c r="C321" s="58" t="str">
        <f>IFERROR(VLOOKUP(B321 ,INVENTARIO!$B$2:C994,2,0),"")</f>
        <v>codo con regulador</v>
      </c>
      <c r="D321" s="65">
        <v>9.0</v>
      </c>
      <c r="E321" s="60"/>
      <c r="F321" s="61">
        <f t="shared" si="1"/>
        <v>45670.60385</v>
      </c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57" t="s">
        <v>772</v>
      </c>
      <c r="C322" s="58" t="str">
        <f>IFERROR(VLOOKUP(B322 ,INVENTARIO!$B$2:C994,2,0),"")</f>
        <v>Aerosol rojo de alta temperatura</v>
      </c>
      <c r="D322" s="64">
        <v>0.0</v>
      </c>
      <c r="E322" s="60"/>
      <c r="F322" s="61">
        <f t="shared" si="1"/>
        <v>45670.60396</v>
      </c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57" t="s">
        <v>774</v>
      </c>
      <c r="C323" s="58" t="str">
        <f>IFERROR(VLOOKUP(B323 ,INVENTARIO!$B$2:C994,2,0),"")</f>
        <v>Aerosol verde de alta temperatura</v>
      </c>
      <c r="D323" s="65">
        <v>0.0</v>
      </c>
      <c r="E323" s="60"/>
      <c r="F323" s="61">
        <f t="shared" si="1"/>
        <v>45670.60404</v>
      </c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57" t="s">
        <v>776</v>
      </c>
      <c r="C324" s="58" t="str">
        <f>IFERROR(VLOOKUP(B324 ,INVENTARIO!$B$2:C994,2,0),"")</f>
        <v>Aerosol aluminio de alta temperatura</v>
      </c>
      <c r="D324" s="65">
        <v>1.0</v>
      </c>
      <c r="E324" s="60"/>
      <c r="F324" s="61">
        <f t="shared" si="1"/>
        <v>45670.60417</v>
      </c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57" t="s">
        <v>778</v>
      </c>
      <c r="C325" s="58" t="str">
        <f>IFERROR(VLOOKUP(B325 ,INVENTARIO!$B$2:C994,2,0),"")</f>
        <v>Aerosol blanco común, secado rápido</v>
      </c>
      <c r="D325" s="65">
        <v>1.0</v>
      </c>
      <c r="E325" s="60"/>
      <c r="F325" s="61">
        <f t="shared" si="1"/>
        <v>45670.60429</v>
      </c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57" t="s">
        <v>780</v>
      </c>
      <c r="C326" s="58" t="str">
        <f>IFERROR(VLOOKUP(B326 ,INVENTARIO!$B$2:C994,2,0),"")</f>
        <v>Aerosol negro común</v>
      </c>
      <c r="D326" s="65">
        <v>2.0</v>
      </c>
      <c r="E326" s="60"/>
      <c r="F326" s="61">
        <f t="shared" si="1"/>
        <v>45670.60438</v>
      </c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57" t="s">
        <v>782</v>
      </c>
      <c r="C327" s="58" t="str">
        <f>IFERROR(VLOOKUP(B327 ,INVENTARIO!$B$2:C994,2,0),"")</f>
        <v>Aerosol negro alta temp-</v>
      </c>
      <c r="D327" s="65">
        <v>1.0</v>
      </c>
      <c r="E327" s="60"/>
      <c r="F327" s="61">
        <f t="shared" si="1"/>
        <v>45670.60447</v>
      </c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57" t="s">
        <v>784</v>
      </c>
      <c r="C328" s="58" t="str">
        <f>IFERROR(VLOOKUP(B328 ,INVENTARIO!$B$2:C994,2,0),"")</f>
        <v>maza de 1.5 kl</v>
      </c>
      <c r="D328" s="65">
        <v>1.0</v>
      </c>
      <c r="E328" s="60"/>
      <c r="F328" s="61">
        <f t="shared" si="1"/>
        <v>45670.60458</v>
      </c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57" t="s">
        <v>786</v>
      </c>
      <c r="C329" s="58" t="str">
        <f>IFERROR(VLOOKUP(B329 ,INVENTARIO!$B$2:C994,2,0),"")</f>
        <v>Agujereadora eléctrica 13mm</v>
      </c>
      <c r="D329" s="65">
        <v>1.0</v>
      </c>
      <c r="E329" s="60"/>
      <c r="F329" s="61">
        <f t="shared" si="1"/>
        <v>45670.60501</v>
      </c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57" t="s">
        <v>788</v>
      </c>
      <c r="C330" s="58" t="str">
        <f>IFERROR(VLOOKUP(B330 ,INVENTARIO!$B$2:C994,2,0),"")</f>
        <v>Agujereadora a batería 13mm</v>
      </c>
      <c r="D330" s="65">
        <v>0.0</v>
      </c>
      <c r="E330" s="60"/>
      <c r="F330" s="61">
        <f t="shared" si="1"/>
        <v>45670.60517</v>
      </c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57" t="s">
        <v>790</v>
      </c>
      <c r="C331" s="58" t="str">
        <f>IFERROR(VLOOKUP(B331 ,INVENTARIO!$B$2:C994,2,0),"")</f>
        <v>Amoladora a batería 115mm</v>
      </c>
      <c r="D331" s="65">
        <v>0.0</v>
      </c>
      <c r="E331" s="60"/>
      <c r="F331" s="61">
        <f t="shared" si="1"/>
        <v>45670.60533</v>
      </c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57" t="s">
        <v>792</v>
      </c>
      <c r="C332" s="58" t="str">
        <f>IFERROR(VLOOKUP(B332 ,INVENTARIO!$B$2:C994,2,0),"")</f>
        <v>Llave fija boca, estriada 11mm</v>
      </c>
      <c r="D332" s="65">
        <v>1.0</v>
      </c>
      <c r="E332" s="60"/>
      <c r="F332" s="61">
        <f t="shared" si="1"/>
        <v>45670.60542</v>
      </c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57" t="s">
        <v>794</v>
      </c>
      <c r="C333" s="58" t="str">
        <f>IFERROR(VLOOKUP(B333 ,INVENTARIO!$B$2:C994,2,0),"")</f>
        <v>Llave fija boca, estriada 10mm</v>
      </c>
      <c r="D333" s="65">
        <v>1.0</v>
      </c>
      <c r="E333" s="60"/>
      <c r="F333" s="61">
        <f t="shared" si="1"/>
        <v>45670.60554</v>
      </c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57" t="s">
        <v>796</v>
      </c>
      <c r="C334" s="58" t="str">
        <f>IFERROR(VLOOKUP(B334 ,INVENTARIO!$B$2:C994,2,0),"")</f>
        <v>Llave regulable de 4" (francesa)</v>
      </c>
      <c r="D334" s="65">
        <v>1.0</v>
      </c>
      <c r="E334" s="60"/>
      <c r="F334" s="61">
        <f t="shared" si="1"/>
        <v>45670.60565</v>
      </c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57" t="s">
        <v>798</v>
      </c>
      <c r="C335" s="58" t="str">
        <f>IFERROR(VLOOKUP(B335 ,INVENTARIO!$B$2:C994,2,0),"")</f>
        <v>Llaves tipo torx largas juego de 10 piezas</v>
      </c>
      <c r="D335" s="65">
        <v>1.0</v>
      </c>
      <c r="E335" s="60"/>
      <c r="F335" s="61">
        <f t="shared" si="1"/>
        <v>45670.60574</v>
      </c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57" t="s">
        <v>800</v>
      </c>
      <c r="C336" s="58" t="str">
        <f>IFERROR(VLOOKUP(B336 ,INVENTARIO!$B$2:C994,2,0),"")</f>
        <v>Multímetro digital proskit mt1232</v>
      </c>
      <c r="D336" s="65">
        <v>1.0</v>
      </c>
      <c r="E336" s="60"/>
      <c r="F336" s="61">
        <f t="shared" si="1"/>
        <v>45670.60582</v>
      </c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57" t="s">
        <v>803</v>
      </c>
      <c r="C337" s="58" t="str">
        <f>IFERROR(VLOOKUP(B337 ,INVENTARIO!$B$2:C994,2,0),"")</f>
        <v>Pinza amperométrica clamp</v>
      </c>
      <c r="D337" s="65">
        <v>1.0</v>
      </c>
      <c r="E337" s="60"/>
      <c r="F337" s="61">
        <f t="shared" si="1"/>
        <v>45670.60591</v>
      </c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57" t="s">
        <v>805</v>
      </c>
      <c r="C338" s="58" t="str">
        <f>IFERROR(VLOOKUP(B338 ,INVENTARIO!$B$2:C994,2,0),"")</f>
        <v>Pinza universal bahco 180mm 2678g</v>
      </c>
      <c r="D338" s="65">
        <v>1.0</v>
      </c>
      <c r="E338" s="60"/>
      <c r="F338" s="61">
        <f t="shared" si="1"/>
        <v>45670.60599</v>
      </c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57" t="s">
        <v>807</v>
      </c>
      <c r="C339" s="58" t="str">
        <f>IFERROR(VLOOKUP(B339 ,INVENTARIO!$B$2:C994,2,0),"")</f>
        <v>Pinza de punta media caña 160mm 2470g</v>
      </c>
      <c r="D339" s="65">
        <v>2.0</v>
      </c>
      <c r="E339" s="60"/>
      <c r="F339" s="61">
        <f t="shared" si="1"/>
        <v>45670.60607</v>
      </c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57" t="s">
        <v>809</v>
      </c>
      <c r="C340" s="58" t="str">
        <f>IFERROR(VLOOKUP(B340 ,INVENTARIO!$B$2:C994,2,0),"")</f>
        <v>Alicarte corte oblicuo 160mm</v>
      </c>
      <c r="D340" s="65">
        <v>2.0</v>
      </c>
      <c r="E340" s="60"/>
      <c r="F340" s="61">
        <f t="shared" si="1"/>
        <v>45670.6062</v>
      </c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57" t="s">
        <v>811</v>
      </c>
      <c r="C341" s="58" t="str">
        <f>IFERROR(VLOOKUP(B341 ,INVENTARIO!$B$2:C994,2,0),"")</f>
        <v>Manija porta macho de 3 a 12mm</v>
      </c>
      <c r="D341" s="65">
        <v>1.0</v>
      </c>
      <c r="E341" s="60"/>
      <c r="F341" s="61">
        <f t="shared" si="1"/>
        <v>45670.60629</v>
      </c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57" t="s">
        <v>813</v>
      </c>
      <c r="C342" s="58" t="str">
        <f>IFERROR(VLOOKUP(B342 ,INVENTARIO!$B$2:C994,2,0),"")</f>
        <v>Amoladora de 115mm</v>
      </c>
      <c r="D342" s="65">
        <v>1.0</v>
      </c>
      <c r="E342" s="60"/>
      <c r="F342" s="61">
        <f t="shared" si="1"/>
        <v>45670.60641</v>
      </c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57" t="s">
        <v>815</v>
      </c>
      <c r="C343" s="58" t="str">
        <f>IFERROR(VLOOKUP(B343 ,INVENTARIO!$B$2:C994,2,0),"")</f>
        <v>Destornillador X6 Para Golpe Bahco</v>
      </c>
      <c r="D343" s="65">
        <v>1.0</v>
      </c>
      <c r="E343" s="60"/>
      <c r="F343" s="61">
        <f t="shared" si="1"/>
        <v>45670.60651</v>
      </c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57" t="s">
        <v>817</v>
      </c>
      <c r="C344" s="58" t="str">
        <f>IFERROR(VLOOKUP(B344 ,INVENTARIO!$B$2:C994,2,0),"")</f>
        <v>juego de destornilladores preaislados</v>
      </c>
      <c r="D344" s="65">
        <v>1.0</v>
      </c>
      <c r="E344" s="60"/>
      <c r="F344" s="61">
        <f t="shared" si="1"/>
        <v>45670.60661</v>
      </c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57" t="s">
        <v>819</v>
      </c>
      <c r="C345" s="58" t="str">
        <f>IFERROR(VLOOKUP(B345 ,INVENTARIO!$B$2:C994,2,0),"")</f>
        <v>Juego de destornilladores bremen</v>
      </c>
      <c r="D345" s="65">
        <v>1.0</v>
      </c>
      <c r="E345" s="60"/>
      <c r="F345" s="61">
        <f t="shared" si="1"/>
        <v>45670.60792</v>
      </c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57" t="s">
        <v>821</v>
      </c>
      <c r="C346" s="58" t="str">
        <f>IFERROR(VLOOKUP(B346 ,INVENTARIO!$B$2:C994,2,0),"")</f>
        <v>maza de goma</v>
      </c>
      <c r="D346" s="65">
        <v>0.0</v>
      </c>
      <c r="E346" s="60"/>
      <c r="F346" s="61">
        <f t="shared" si="1"/>
        <v>45670.60813</v>
      </c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57" t="s">
        <v>823</v>
      </c>
      <c r="C347" s="58" t="str">
        <f>IFERROR(VLOOKUP(B347 ,INVENTARIO!$B$2:C994,2,0),"")</f>
        <v>Remachadora manual</v>
      </c>
      <c r="D347" s="65">
        <v>1.0</v>
      </c>
      <c r="E347" s="60"/>
      <c r="F347" s="61">
        <f t="shared" si="1"/>
        <v>45670.60831</v>
      </c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57" t="s">
        <v>825</v>
      </c>
      <c r="C348" s="58" t="str">
        <f>IFERROR(VLOOKUP(B348 ,INVENTARIO!$B$2:C994,2,0),"")</f>
        <v>Remachadora neumatica</v>
      </c>
      <c r="D348" s="65">
        <v>1.0</v>
      </c>
      <c r="E348" s="60"/>
      <c r="F348" s="61">
        <f t="shared" si="1"/>
        <v>45670.60843</v>
      </c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57" t="s">
        <v>827</v>
      </c>
      <c r="C349" s="58" t="str">
        <f>IFERROR(VLOOKUP(B349 ,INVENTARIO!$B$2:C994,2,0),"")</f>
        <v>Lima plana</v>
      </c>
      <c r="D349" s="65">
        <v>2.0</v>
      </c>
      <c r="E349" s="60"/>
      <c r="F349" s="61">
        <f t="shared" si="1"/>
        <v>45670.63539</v>
      </c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57" t="s">
        <v>829</v>
      </c>
      <c r="C350" s="58" t="str">
        <f>IFERROR(VLOOKUP(B350 ,INVENTARIO!$B$2:C994,2,0),"")</f>
        <v>Tijera de corte grande</v>
      </c>
      <c r="D350" s="65">
        <v>1.0</v>
      </c>
      <c r="E350" s="60"/>
      <c r="F350" s="61">
        <f t="shared" si="1"/>
        <v>45670.63553</v>
      </c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57" t="s">
        <v>831</v>
      </c>
      <c r="C351" s="58" t="str">
        <f>IFERROR(VLOOKUP(B351 ,INVENTARIO!$B$2:C994,2,0),"")</f>
        <v>Cinta metrica 3mts</v>
      </c>
      <c r="D351" s="65">
        <v>1.0</v>
      </c>
      <c r="E351" s="60"/>
      <c r="F351" s="61">
        <f t="shared" si="1"/>
        <v>45670.63564</v>
      </c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57" t="s">
        <v>833</v>
      </c>
      <c r="C352" s="58" t="str">
        <f>IFERROR(VLOOKUP(B352 ,INVENTARIO!$B$2:C994,2,0),"")</f>
        <v>Juego llaves alem milimetricas</v>
      </c>
      <c r="D352" s="65">
        <v>2.0</v>
      </c>
      <c r="E352" s="60"/>
      <c r="F352" s="61">
        <f t="shared" si="1"/>
        <v>45670.63577</v>
      </c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57" t="s">
        <v>835</v>
      </c>
      <c r="C353" s="58" t="str">
        <f>IFERROR(VLOOKUP(B353 ,INVENTARIO!$B$2:C994,2,0),"")</f>
        <v>Juego laves alem pulgadas</v>
      </c>
      <c r="D353" s="65">
        <v>2.0</v>
      </c>
      <c r="E353" s="60"/>
      <c r="F353" s="61">
        <f t="shared" si="1"/>
        <v>45670.63588</v>
      </c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57" t="s">
        <v>1899</v>
      </c>
      <c r="C354" s="58" t="str">
        <f>IFERROR(VLOOKUP(B354 ,INVENTARIO!$B$2:C994,2,0),"")</f>
        <v/>
      </c>
      <c r="D354" s="65">
        <v>1.0</v>
      </c>
      <c r="E354" s="60"/>
      <c r="F354" s="61">
        <f t="shared" si="1"/>
        <v>45670.64424</v>
      </c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57" t="s">
        <v>1900</v>
      </c>
      <c r="C355" s="58" t="str">
        <f>IFERROR(VLOOKUP(B355 ,INVENTARIO!$B$2:C994,2,0),"")</f>
        <v/>
      </c>
      <c r="D355" s="65">
        <v>0.0</v>
      </c>
      <c r="E355" s="60"/>
      <c r="F355" s="61">
        <f t="shared" si="1"/>
        <v>45670.64435</v>
      </c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57" t="s">
        <v>1901</v>
      </c>
      <c r="C356" s="58" t="str">
        <f>IFERROR(VLOOKUP(B356 ,INVENTARIO!$B$2:C994,2,0),"")</f>
        <v/>
      </c>
      <c r="D356" s="65">
        <v>0.0</v>
      </c>
      <c r="E356" s="60"/>
      <c r="F356" s="61">
        <f t="shared" si="1"/>
        <v>45670.64444</v>
      </c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57" t="s">
        <v>1902</v>
      </c>
      <c r="C357" s="58" t="str">
        <f>IFERROR(VLOOKUP(B357 ,INVENTARIO!$B$2:C994,2,0),"")</f>
        <v/>
      </c>
      <c r="D357" s="65">
        <v>0.0</v>
      </c>
      <c r="E357" s="60"/>
      <c r="F357" s="61">
        <f t="shared" si="1"/>
        <v>45670.64458</v>
      </c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57" t="s">
        <v>1903</v>
      </c>
      <c r="C358" s="58" t="str">
        <f>IFERROR(VLOOKUP(B358 ,INVENTARIO!$B$2:C994,2,0),"")</f>
        <v/>
      </c>
      <c r="D358" s="65">
        <v>0.0</v>
      </c>
      <c r="E358" s="60"/>
      <c r="F358" s="61">
        <f t="shared" si="1"/>
        <v>45670.64468</v>
      </c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57" t="s">
        <v>1904</v>
      </c>
      <c r="C359" s="58" t="str">
        <f>IFERROR(VLOOKUP(B359 ,INVENTARIO!$B$2:C994,2,0),"")</f>
        <v/>
      </c>
      <c r="D359" s="65">
        <v>0.0</v>
      </c>
      <c r="E359" s="60"/>
      <c r="F359" s="61">
        <f t="shared" si="1"/>
        <v>45670.64487</v>
      </c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57" t="s">
        <v>1905</v>
      </c>
      <c r="C360" s="58" t="str">
        <f>IFERROR(VLOOKUP(B360 ,INVENTARIO!$B$2:C994,2,0),"")</f>
        <v/>
      </c>
      <c r="D360" s="65">
        <v>1.0</v>
      </c>
      <c r="E360" s="60"/>
      <c r="F360" s="61">
        <f t="shared" si="1"/>
        <v>45670.645</v>
      </c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57" t="s">
        <v>1906</v>
      </c>
      <c r="C361" s="58" t="str">
        <f>IFERROR(VLOOKUP(B361 ,INVENTARIO!$B$2:C994,2,0),"")</f>
        <v/>
      </c>
      <c r="D361" s="65">
        <v>2.0</v>
      </c>
      <c r="E361" s="60"/>
      <c r="F361" s="61">
        <f t="shared" si="1"/>
        <v>45670.64512</v>
      </c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57" t="s">
        <v>1907</v>
      </c>
      <c r="C362" s="58" t="str">
        <f>IFERROR(VLOOKUP(B362 ,INVENTARIO!$B$2:C994,2,0),"")</f>
        <v/>
      </c>
      <c r="D362" s="65">
        <v>0.0</v>
      </c>
      <c r="E362" s="60"/>
      <c r="F362" s="61">
        <f t="shared" si="1"/>
        <v>45670.64522</v>
      </c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57" t="s">
        <v>1908</v>
      </c>
      <c r="C363" s="58" t="str">
        <f>IFERROR(VLOOKUP(B363 ,INVENTARIO!$B$2:C994,2,0),"")</f>
        <v/>
      </c>
      <c r="D363" s="65">
        <v>0.0</v>
      </c>
      <c r="E363" s="60"/>
      <c r="F363" s="61">
        <f t="shared" si="1"/>
        <v>45670.64533</v>
      </c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57" t="s">
        <v>1909</v>
      </c>
      <c r="C364" s="58" t="str">
        <f>IFERROR(VLOOKUP(B364 ,INVENTARIO!$B$2:C994,2,0),"")</f>
        <v/>
      </c>
      <c r="D364" s="65">
        <v>2.0</v>
      </c>
      <c r="E364" s="60"/>
      <c r="F364" s="61">
        <f t="shared" si="1"/>
        <v>45670.64549</v>
      </c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57" t="s">
        <v>1910</v>
      </c>
      <c r="C365" s="58" t="str">
        <f>IFERROR(VLOOKUP(B365 ,INVENTARIO!$B$2:C994,2,0),"")</f>
        <v/>
      </c>
      <c r="D365" s="65">
        <v>2.0</v>
      </c>
      <c r="E365" s="60"/>
      <c r="F365" s="61">
        <f t="shared" si="1"/>
        <v>45670.64564</v>
      </c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57" t="s">
        <v>1911</v>
      </c>
      <c r="C366" s="58" t="str">
        <f>IFERROR(VLOOKUP(B366 ,INVENTARIO!$B$2:C994,2,0),"")</f>
        <v/>
      </c>
      <c r="D366" s="65">
        <v>1.0</v>
      </c>
      <c r="E366" s="60"/>
      <c r="F366" s="61">
        <f t="shared" si="1"/>
        <v>45670.64576</v>
      </c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57" t="s">
        <v>1912</v>
      </c>
      <c r="C367" s="58" t="str">
        <f>IFERROR(VLOOKUP(B367 ,INVENTARIO!$B$2:C994,2,0),"")</f>
        <v/>
      </c>
      <c r="D367" s="65">
        <v>0.0</v>
      </c>
      <c r="E367" s="60"/>
      <c r="F367" s="61">
        <f t="shared" si="1"/>
        <v>45670.64588</v>
      </c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57" t="s">
        <v>1913</v>
      </c>
      <c r="C368" s="58" t="str">
        <f>IFERROR(VLOOKUP(B368 ,INVENTARIO!$B$2:C994,2,0),"")</f>
        <v/>
      </c>
      <c r="D368" s="65">
        <v>1.0</v>
      </c>
      <c r="E368" s="60"/>
      <c r="F368" s="61">
        <f t="shared" si="1"/>
        <v>45670.64599</v>
      </c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57" t="s">
        <v>1914</v>
      </c>
      <c r="C369" s="58" t="str">
        <f>IFERROR(VLOOKUP(B369 ,INVENTARIO!$B$2:C994,2,0),"")</f>
        <v/>
      </c>
      <c r="D369" s="65">
        <v>1.0</v>
      </c>
      <c r="E369" s="60"/>
      <c r="F369" s="61">
        <f t="shared" si="1"/>
        <v>45670.64609</v>
      </c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57" t="s">
        <v>923</v>
      </c>
      <c r="C370" s="58" t="str">
        <f>IFERROR(VLOOKUP(B370 ,INVENTARIO!$B$2:C994,2,0),"")</f>
        <v>Juegos de llaves tubo</v>
      </c>
      <c r="D370" s="65">
        <v>0.0</v>
      </c>
      <c r="E370" s="60"/>
      <c r="F370" s="61">
        <f t="shared" si="1"/>
        <v>45670.64617</v>
      </c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57" t="s">
        <v>925</v>
      </c>
      <c r="C371" s="58" t="str">
        <f>IFERROR(VLOOKUP(B371 ,INVENTARIO!$B$2:C994,2,0),"")</f>
        <v>Cinta de teflon- Lata densidad 3/4"</v>
      </c>
      <c r="D371" s="65">
        <v>1.0</v>
      </c>
      <c r="E371" s="60"/>
      <c r="F371" s="61">
        <f t="shared" si="1"/>
        <v>45670.64626</v>
      </c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57" t="s">
        <v>928</v>
      </c>
      <c r="C372" s="58" t="str">
        <f>IFERROR(VLOOKUP(B372 ,INVENTARIO!$B$2:C994,2,0),"")</f>
        <v>Fastix alta temperatura</v>
      </c>
      <c r="D372" s="65">
        <v>2.0</v>
      </c>
      <c r="E372" s="60"/>
      <c r="F372" s="61">
        <f t="shared" si="1"/>
        <v>45670.64639</v>
      </c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57" t="s">
        <v>931</v>
      </c>
      <c r="C373" s="58" t="str">
        <f>IFERROR(VLOOKUP(B373 ,INVENTARIO!$B$2:C994,2,0),"")</f>
        <v>sellador trsparente</v>
      </c>
      <c r="D373" s="65">
        <v>1.0</v>
      </c>
      <c r="E373" s="60"/>
      <c r="F373" s="61">
        <f t="shared" si="1"/>
        <v>45670.64648</v>
      </c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57" t="s">
        <v>933</v>
      </c>
      <c r="C374" s="58" t="str">
        <f>IFERROR(VLOOKUP(B374 ,INVENTARIO!$B$2:C994,2,0),"")</f>
        <v>Suprabond zingueria y canaletas</v>
      </c>
      <c r="D374" s="65">
        <v>3.0</v>
      </c>
      <c r="E374" s="60"/>
      <c r="F374" s="61">
        <f t="shared" si="1"/>
        <v>45670.64661</v>
      </c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57" t="s">
        <v>935</v>
      </c>
      <c r="C375" s="58" t="str">
        <f>IFERROR(VLOOKUP(B375 ,INVENTARIO!$B$2:C994,2,0),"")</f>
        <v>Suprabond adesivo instantaneo</v>
      </c>
      <c r="D375" s="65">
        <v>2.0</v>
      </c>
      <c r="E375" s="60"/>
      <c r="F375" s="61">
        <f t="shared" si="1"/>
        <v>45670.64672</v>
      </c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57" t="s">
        <v>1915</v>
      </c>
      <c r="C376" s="58" t="str">
        <f>IFERROR(VLOOKUP(B376 ,INVENTARIO!$B$2:C994,2,0),"")</f>
        <v/>
      </c>
      <c r="D376" s="65">
        <v>1.0</v>
      </c>
      <c r="E376" s="60"/>
      <c r="F376" s="61">
        <f t="shared" si="1"/>
        <v>45670.64681</v>
      </c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57" t="s">
        <v>939</v>
      </c>
      <c r="C377" s="58" t="str">
        <f>IFERROR(VLOOKUP(B377 ,INVENTARIO!$B$2:C994,2,0),"")</f>
        <v>Juego de punzones</v>
      </c>
      <c r="D377" s="65">
        <v>4.0</v>
      </c>
      <c r="E377" s="60"/>
      <c r="F377" s="61">
        <f t="shared" si="1"/>
        <v>45670.64691</v>
      </c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57" t="s">
        <v>941</v>
      </c>
      <c r="C378" s="58" t="str">
        <f>IFERROR(VLOOKUP(B378 ,INVENTARIO!$B$2:C994,2,0),"")</f>
        <v>Martillo bolita</v>
      </c>
      <c r="D378" s="65">
        <v>1.0</v>
      </c>
      <c r="E378" s="60"/>
      <c r="F378" s="61">
        <f t="shared" si="1"/>
        <v>45670.64733</v>
      </c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57" t="s">
        <v>943</v>
      </c>
      <c r="C379" s="58" t="str">
        <f>IFERROR(VLOOKUP(B379 ,INVENTARIO!$B$2:C994,2,0),"")</f>
        <v>Martillo carpintero</v>
      </c>
      <c r="D379" s="65">
        <v>1.0</v>
      </c>
      <c r="E379" s="60"/>
      <c r="F379" s="61">
        <f t="shared" si="1"/>
        <v>45670.64769</v>
      </c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57" t="s">
        <v>945</v>
      </c>
      <c r="C380" s="58" t="str">
        <f>IFERROR(VLOOKUP(B380 ,INVENTARIO!$B$2:C994,2,0),"")</f>
        <v>Llave 3/8 "</v>
      </c>
      <c r="D380" s="65">
        <v>1.0</v>
      </c>
      <c r="E380" s="60"/>
      <c r="F380" s="61">
        <f t="shared" si="1"/>
        <v>45670.64797</v>
      </c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57" t="s">
        <v>947</v>
      </c>
      <c r="C381" s="58" t="str">
        <f>IFERROR(VLOOKUP(B381 ,INVENTARIO!$B$2:C994,2,0),"")</f>
        <v>Llave 7/16"</v>
      </c>
      <c r="D381" s="65">
        <v>1.0</v>
      </c>
      <c r="E381" s="60"/>
      <c r="F381" s="61">
        <f t="shared" si="1"/>
        <v>45670.64835</v>
      </c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57" t="s">
        <v>949</v>
      </c>
      <c r="C382" s="58" t="str">
        <f>IFERROR(VLOOKUP(B382 ,INVENTARIO!$B$2:C994,2,0),"")</f>
        <v>Llave 1/2"</v>
      </c>
      <c r="D382" s="65">
        <v>1.0</v>
      </c>
      <c r="E382" s="60"/>
      <c r="F382" s="61">
        <f t="shared" si="1"/>
        <v>45670.66341</v>
      </c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57" t="s">
        <v>951</v>
      </c>
      <c r="C383" s="58" t="str">
        <f>IFERROR(VLOOKUP(B383 ,INVENTARIO!$B$2:C994,2,0),"")</f>
        <v>Llave 5/8"</v>
      </c>
      <c r="D383" s="65">
        <v>2.0</v>
      </c>
      <c r="E383" s="60"/>
      <c r="F383" s="61">
        <f t="shared" si="1"/>
        <v>45670.6635</v>
      </c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57" t="s">
        <v>953</v>
      </c>
      <c r="C384" s="58" t="str">
        <f>IFERROR(VLOOKUP(B384 ,INVENTARIO!$B$2:C994,2,0),"")</f>
        <v>Llave 3/4"</v>
      </c>
      <c r="D384" s="65">
        <v>1.0</v>
      </c>
      <c r="E384" s="60"/>
      <c r="F384" s="61">
        <f t="shared" si="1"/>
        <v>45670.66367</v>
      </c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57" t="s">
        <v>955</v>
      </c>
      <c r="C385" s="58" t="str">
        <f>IFERROR(VLOOKUP(B385 ,INVENTARIO!$B$2:C994,2,0),"")</f>
        <v>Llave combinada crique 10mm</v>
      </c>
      <c r="D385" s="65">
        <v>1.0</v>
      </c>
      <c r="E385" s="60"/>
      <c r="F385" s="61">
        <f t="shared" si="1"/>
        <v>45670.66378</v>
      </c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57" t="s">
        <v>957</v>
      </c>
      <c r="C386" s="58" t="str">
        <f>IFERROR(VLOOKUP(B386 ,INVENTARIO!$B$2:C994,2,0),"")</f>
        <v>Llave combinada crique 17mm</v>
      </c>
      <c r="D386" s="65">
        <v>0.0</v>
      </c>
      <c r="E386" s="60"/>
      <c r="F386" s="61">
        <f t="shared" si="1"/>
        <v>45670.66395</v>
      </c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57" t="s">
        <v>959</v>
      </c>
      <c r="C387" s="58" t="str">
        <f>IFERROR(VLOOKUP(B387 ,INVENTARIO!$B$2:C994,2,0),"")</f>
        <v>Pinza pico de loro bahco</v>
      </c>
      <c r="D387" s="65">
        <v>1.0</v>
      </c>
      <c r="E387" s="60"/>
      <c r="F387" s="61">
        <f t="shared" si="1"/>
        <v>45670.66406</v>
      </c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57" t="s">
        <v>961</v>
      </c>
      <c r="C388" s="58" t="str">
        <f>IFERROR(VLOOKUP(B388 ,INVENTARIO!$B$2:C994,2,0),"")</f>
        <v>pinza cerrar seguer punta recta</v>
      </c>
      <c r="D388" s="65">
        <v>1.0</v>
      </c>
      <c r="E388" s="60"/>
      <c r="F388" s="61">
        <f t="shared" si="1"/>
        <v>45670.66427</v>
      </c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57" t="s">
        <v>964</v>
      </c>
      <c r="C389" s="58" t="str">
        <f>IFERROR(VLOOKUP(B389 ,INVENTARIO!$B$2:C994,2,0),"")</f>
        <v>Pinza abre seguer punta recta</v>
      </c>
      <c r="D389" s="65">
        <v>1.0</v>
      </c>
      <c r="E389" s="60"/>
      <c r="F389" s="61">
        <f t="shared" si="1"/>
        <v>45670.67274</v>
      </c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57" t="s">
        <v>966</v>
      </c>
      <c r="C390" s="58" t="str">
        <f>IFERROR(VLOOKUP(B390 ,INVENTARIO!$B$2:C994,2,0),"")</f>
        <v>Pinza cierra seguer punta recta</v>
      </c>
      <c r="D390" s="65">
        <v>1.0</v>
      </c>
      <c r="E390" s="60"/>
      <c r="F390" s="61">
        <f t="shared" si="1"/>
        <v>45670.66471</v>
      </c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57" t="s">
        <v>968</v>
      </c>
      <c r="C391" s="58" t="str">
        <f>IFERROR(VLOOKUP(B391 ,INVENTARIO!$B$2:C994,2,0),"")</f>
        <v>Pinza abrir seguer punta curva</v>
      </c>
      <c r="D391" s="65">
        <v>1.0</v>
      </c>
      <c r="E391" s="60"/>
      <c r="F391" s="61">
        <f t="shared" si="1"/>
        <v>45670.66489</v>
      </c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57" t="s">
        <v>971</v>
      </c>
      <c r="C392" s="58" t="str">
        <f>IFERROR(VLOOKUP(B392 ,INVENTARIO!$B$2:C994,2,0),"")</f>
        <v>Pinza abrir seger curva (7")</v>
      </c>
      <c r="D392" s="65">
        <v>1.0</v>
      </c>
      <c r="E392" s="60"/>
      <c r="F392" s="61">
        <f t="shared" si="1"/>
        <v>45670.66612</v>
      </c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57" t="s">
        <v>974</v>
      </c>
      <c r="C393" s="58" t="str">
        <f>IFERROR(VLOOKUP(B393 ,INVENTARIO!$B$2:C994,2,0),"")</f>
        <v>Pinza abrir seger recta (7")</v>
      </c>
      <c r="D393" s="65">
        <v>1.0</v>
      </c>
      <c r="E393" s="60"/>
      <c r="F393" s="61">
        <f t="shared" si="1"/>
        <v>45670.69205</v>
      </c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57" t="s">
        <v>977</v>
      </c>
      <c r="C394" s="58" t="str">
        <f>IFERROR(VLOOKUP(B394 ,INVENTARIO!$B$2:C994,2,0),"")</f>
        <v>Pinza cerrar seger curva (7")</v>
      </c>
      <c r="D394" s="65">
        <v>1.0</v>
      </c>
      <c r="E394" s="60"/>
      <c r="F394" s="61">
        <f t="shared" si="1"/>
        <v>45670.69217</v>
      </c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57" t="s">
        <v>980</v>
      </c>
      <c r="C395" s="58" t="str">
        <f>IFERROR(VLOOKUP(B395 ,INVENTARIO!$B$2:C994,2,0),"")</f>
        <v>Pinza cerrar seger recta (7")</v>
      </c>
      <c r="D395" s="65">
        <v>1.0</v>
      </c>
      <c r="E395" s="60"/>
      <c r="F395" s="61">
        <f t="shared" si="1"/>
        <v>45670.69569</v>
      </c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57" t="s">
        <v>983</v>
      </c>
      <c r="C396" s="58" t="str">
        <f>IFERROR(VLOOKUP(B396 ,INVENTARIO!$B$2:C994,2,0),"")</f>
        <v>Pinza cierra seguer punta curva</v>
      </c>
      <c r="D396" s="65">
        <v>1.0</v>
      </c>
      <c r="E396" s="60"/>
      <c r="F396" s="61">
        <f t="shared" si="1"/>
        <v>45670.69603</v>
      </c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57" t="s">
        <v>985</v>
      </c>
      <c r="C397" s="58" t="str">
        <f>IFERROR(VLOOKUP(B397 ,INVENTARIO!$B$2:C994,2,0),"")</f>
        <v>pinza seger 9" abrir recta</v>
      </c>
      <c r="D397" s="65">
        <v>1.0</v>
      </c>
      <c r="E397" s="60"/>
      <c r="F397" s="61">
        <f t="shared" si="1"/>
        <v>45670.69624</v>
      </c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57" t="s">
        <v>987</v>
      </c>
      <c r="C398" s="58" t="str">
        <f>IFERROR(VLOOKUP(B398 ,INVENTARIO!$B$2:C994,2,0),"")</f>
        <v>pinza seger 9" cerrar recta</v>
      </c>
      <c r="D398" s="65">
        <v>1.0</v>
      </c>
      <c r="E398" s="60"/>
      <c r="F398" s="61">
        <f t="shared" si="1"/>
        <v>45670.69636</v>
      </c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57" t="s">
        <v>989</v>
      </c>
      <c r="C399" s="58" t="str">
        <f>IFERROR(VLOOKUP(B399 ,INVENTARIO!$B$2:C994,2,0),"")</f>
        <v>Llave estilson 1"</v>
      </c>
      <c r="D399" s="65">
        <v>1.0</v>
      </c>
      <c r="E399" s="60"/>
      <c r="F399" s="61">
        <f t="shared" si="1"/>
        <v>45670.69654</v>
      </c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57" t="s">
        <v>991</v>
      </c>
      <c r="C400" s="58" t="str">
        <f>IFERROR(VLOOKUP(B400 ,INVENTARIO!$B$2:C994,2,0),"")</f>
        <v>Llave estilson 2"</v>
      </c>
      <c r="D400" s="65">
        <v>1.0</v>
      </c>
      <c r="E400" s="60"/>
      <c r="F400" s="61">
        <f t="shared" si="1"/>
        <v>45670.69665</v>
      </c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57" t="s">
        <v>993</v>
      </c>
      <c r="C401" s="58" t="str">
        <f>IFERROR(VLOOKUP(B401 ,INVENTARIO!$B$2:C994,2,0),"")</f>
        <v>Llave estilson 144</v>
      </c>
      <c r="D401" s="65">
        <v>1.0</v>
      </c>
      <c r="E401" s="60"/>
      <c r="F401" s="61">
        <f t="shared" si="1"/>
        <v>45670.69683</v>
      </c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57" t="s">
        <v>995</v>
      </c>
      <c r="C402" s="58" t="str">
        <f>IFERROR(VLOOKUP(B402 ,INVENTARIO!$B$2:C994,2,0),"")</f>
        <v>Llave estilson 142 HD BAHCO</v>
      </c>
      <c r="D402" s="65">
        <v>1.0</v>
      </c>
      <c r="E402" s="60"/>
      <c r="F402" s="61">
        <f t="shared" si="1"/>
        <v>45670.69699</v>
      </c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57" t="s">
        <v>997</v>
      </c>
      <c r="C403" s="58" t="str">
        <f>IFERROR(VLOOKUP(B403 ,INVENTARIO!$B$2:C994,2,0),"")</f>
        <v>Disco abrasivi para desbaste</v>
      </c>
      <c r="D403" s="65">
        <v>7.0</v>
      </c>
      <c r="E403" s="60"/>
      <c r="F403" s="61">
        <f t="shared" si="1"/>
        <v>45670.69713</v>
      </c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57" t="s">
        <v>999</v>
      </c>
      <c r="C404" s="58" t="str">
        <f>IFERROR(VLOOKUP(B404 ,INVENTARIO!$B$2:C994,2,0),"")</f>
        <v>discos flap 40</v>
      </c>
      <c r="D404" s="65">
        <v>2.0</v>
      </c>
      <c r="E404" s="60"/>
      <c r="F404" s="61">
        <f t="shared" si="1"/>
        <v>45670.6973</v>
      </c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57" t="s">
        <v>1001</v>
      </c>
      <c r="C405" s="58" t="str">
        <f>IFERROR(VLOOKUP(B405 ,INVENTARIO!$B$2:C994,2,0),"")</f>
        <v>discos flap 60</v>
      </c>
      <c r="D405" s="65">
        <v>9.0</v>
      </c>
      <c r="E405" s="60"/>
      <c r="F405" s="61">
        <f t="shared" si="1"/>
        <v>45670.69742</v>
      </c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57" t="s">
        <v>1003</v>
      </c>
      <c r="C406" s="58" t="str">
        <f>IFERROR(VLOOKUP(B406 ,INVENTARIO!$B$2:C994,2,0),"")</f>
        <v>discos flap 120</v>
      </c>
      <c r="D406" s="65">
        <v>10.0</v>
      </c>
      <c r="E406" s="60"/>
      <c r="F406" s="61">
        <f t="shared" si="1"/>
        <v>45670.69752</v>
      </c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57" t="s">
        <v>1005</v>
      </c>
      <c r="C407" s="58" t="str">
        <f>IFERROR(VLOOKUP(B407 ,INVENTARIO!$B$2:C994,2,0),"")</f>
        <v>Disco de corte</v>
      </c>
      <c r="D407" s="65">
        <v>80.0</v>
      </c>
      <c r="E407" s="60"/>
      <c r="F407" s="61">
        <f t="shared" si="1"/>
        <v>45670.69777</v>
      </c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57" t="s">
        <v>1007</v>
      </c>
      <c r="C408" s="58" t="str">
        <f>IFERROR(VLOOKUP(B408 ,INVENTARIO!$B$2:C994,2,0),"")</f>
        <v>Cinta doble fast</v>
      </c>
      <c r="D408" s="65">
        <v>2.0</v>
      </c>
      <c r="E408" s="60"/>
      <c r="F408" s="61">
        <f t="shared" si="1"/>
        <v>45670.69901</v>
      </c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57" t="s">
        <v>1007</v>
      </c>
      <c r="C409" s="58" t="str">
        <f>IFERROR(VLOOKUP(B409 ,INVENTARIO!$B$2:C994,2,0),"")</f>
        <v>Cinta doble fast</v>
      </c>
      <c r="D409" s="65">
        <v>1.0</v>
      </c>
      <c r="E409" s="60"/>
      <c r="F409" s="61">
        <f t="shared" si="1"/>
        <v>45670.6993</v>
      </c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57" t="s">
        <v>1011</v>
      </c>
      <c r="C410" s="58" t="str">
        <f>IFERROR(VLOOKUP(B410 ,INVENTARIO!$B$2:C994,2,0),"")</f>
        <v>Tela esmeril para metales 60</v>
      </c>
      <c r="D410" s="65">
        <v>10.0</v>
      </c>
      <c r="E410" s="60"/>
      <c r="F410" s="61">
        <f t="shared" si="1"/>
        <v>45670.6994</v>
      </c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57" t="s">
        <v>1013</v>
      </c>
      <c r="C411" s="58" t="str">
        <f>IFERROR(VLOOKUP(B411 ,INVENTARIO!$B$2:C994,2,0),"")</f>
        <v>Tela esmeril para metales 80</v>
      </c>
      <c r="D411" s="65">
        <v>9.0</v>
      </c>
      <c r="E411" s="60"/>
      <c r="F411" s="61">
        <f t="shared" si="1"/>
        <v>45670.69952</v>
      </c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57" t="s">
        <v>1015</v>
      </c>
      <c r="C412" s="58" t="str">
        <f>IFERROR(VLOOKUP(B412 ,INVENTARIO!$B$2:C994,2,0),"")</f>
        <v>Tela esmeril para metales 120</v>
      </c>
      <c r="D412" s="65">
        <v>7.0</v>
      </c>
      <c r="E412" s="60"/>
      <c r="F412" s="61">
        <f t="shared" si="1"/>
        <v>45670.69962</v>
      </c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57" t="s">
        <v>1017</v>
      </c>
      <c r="C413" s="58" t="str">
        <f>IFERROR(VLOOKUP(B413 ,INVENTARIO!$B$2:C994,2,0),"")</f>
        <v>tela esmeril para metales 180</v>
      </c>
      <c r="D413" s="65">
        <v>15.0</v>
      </c>
      <c r="E413" s="60"/>
      <c r="F413" s="61">
        <f t="shared" si="1"/>
        <v>45670.69972</v>
      </c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57" t="s">
        <v>1019</v>
      </c>
      <c r="C414" s="58" t="str">
        <f>IFERROR(VLOOKUP(B414 ,INVENTARIO!$B$2:C994,2,0),"")</f>
        <v>Tela esmeril para metales 220</v>
      </c>
      <c r="D414" s="65">
        <v>0.0</v>
      </c>
      <c r="E414" s="60"/>
      <c r="F414" s="61">
        <f t="shared" si="1"/>
        <v>45670.69987</v>
      </c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57" t="s">
        <v>1021</v>
      </c>
      <c r="C415" s="58" t="str">
        <f>IFERROR(VLOOKUP(B415 ,INVENTARIO!$B$2:C994,2,0),"")</f>
        <v>Cepillo de acero alambre bronceado</v>
      </c>
      <c r="D415" s="65">
        <v>2.0</v>
      </c>
      <c r="E415" s="60"/>
      <c r="F415" s="61">
        <f t="shared" si="1"/>
        <v>45670.70001</v>
      </c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57" t="s">
        <v>1024</v>
      </c>
      <c r="C416" s="58" t="str">
        <f>IFERROR(VLOOKUP(B416 ,INVENTARIO!$B$2:C994,2,0),"")</f>
        <v>Cepillo de acero mini</v>
      </c>
      <c r="D416" s="65">
        <v>2.0</v>
      </c>
      <c r="E416" s="60"/>
      <c r="F416" s="61">
        <f t="shared" si="1"/>
        <v>45670.70014</v>
      </c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57" t="s">
        <v>1026</v>
      </c>
      <c r="C417" s="58" t="str">
        <f>IFERROR(VLOOKUP(B417 ,INVENTARIO!$B$2:C994,2,0),"")</f>
        <v>Cutter profesional</v>
      </c>
      <c r="D417" s="65">
        <v>1.0</v>
      </c>
      <c r="E417" s="60"/>
      <c r="F417" s="61">
        <f t="shared" si="1"/>
        <v>45670.70028</v>
      </c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57" t="s">
        <v>1028</v>
      </c>
      <c r="C418" s="58" t="str">
        <f>IFERROR(VLOOKUP(B418 ,INVENTARIO!$B$2:C994,2,0),"")</f>
        <v>Llave T 7mm</v>
      </c>
      <c r="D418" s="65">
        <v>1.0</v>
      </c>
      <c r="E418" s="60"/>
      <c r="F418" s="61">
        <f t="shared" si="1"/>
        <v>45670.7004</v>
      </c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57" t="s">
        <v>1030</v>
      </c>
      <c r="C419" s="58" t="str">
        <f>IFERROR(VLOOKUP(B419 ,INVENTARIO!$B$2:C994,2,0),"")</f>
        <v>Llave T 8mm</v>
      </c>
      <c r="D419" s="65">
        <v>1.0</v>
      </c>
      <c r="E419" s="60"/>
      <c r="F419" s="61">
        <f t="shared" si="1"/>
        <v>45670.70048</v>
      </c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57" t="s">
        <v>1032</v>
      </c>
      <c r="C420" s="58" t="str">
        <f>IFERROR(VLOOKUP(B420 ,INVENTARIO!$B$2:C994,2,0),"")</f>
        <v>Llave T 10mm</v>
      </c>
      <c r="D420" s="65">
        <v>1.0</v>
      </c>
      <c r="E420" s="60"/>
      <c r="F420" s="61">
        <f t="shared" si="1"/>
        <v>45670.70058</v>
      </c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57" t="s">
        <v>1034</v>
      </c>
      <c r="C421" s="58" t="str">
        <f>IFERROR(VLOOKUP(B421 ,INVENTARIO!$B$2:C994,2,0),"")</f>
        <v>Llave T 11mm</v>
      </c>
      <c r="D421" s="65">
        <v>1.0</v>
      </c>
      <c r="E421" s="60"/>
      <c r="F421" s="61">
        <f t="shared" si="1"/>
        <v>45670.7007</v>
      </c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57" t="s">
        <v>1036</v>
      </c>
      <c r="C422" s="58" t="str">
        <f>IFERROR(VLOOKUP(B422 ,INVENTARIO!$B$2:C994,2,0),"")</f>
        <v>Llave T 13mm</v>
      </c>
      <c r="D422" s="65">
        <v>1.0</v>
      </c>
      <c r="E422" s="60"/>
      <c r="F422" s="61">
        <f t="shared" si="1"/>
        <v>45670.70085</v>
      </c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57" t="s">
        <v>1038</v>
      </c>
      <c r="C423" s="58" t="str">
        <f>IFERROR(VLOOKUP(B423 ,INVENTARIO!$B$2:C994,2,0),"")</f>
        <v>Llave T 1/2mm</v>
      </c>
      <c r="D423" s="65">
        <v>1.0</v>
      </c>
      <c r="E423" s="60"/>
      <c r="F423" s="61">
        <f t="shared" si="1"/>
        <v>45670.70099</v>
      </c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57" t="s">
        <v>1040</v>
      </c>
      <c r="C424" s="58" t="str">
        <f>IFERROR(VLOOKUP(B424 ,INVENTARIO!$B$2:C994,2,0),"")</f>
        <v>Sondas milimetricas</v>
      </c>
      <c r="D424" s="65">
        <v>1.0</v>
      </c>
      <c r="E424" s="60"/>
      <c r="F424" s="61">
        <f t="shared" si="1"/>
        <v>45670.70113</v>
      </c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57" t="s">
        <v>1042</v>
      </c>
      <c r="C425" s="58" t="str">
        <f>IFERROR(VLOOKUP(B425 ,INVENTARIO!$B$2:C994,2,0),"")</f>
        <v>Pinza de presion perro curva</v>
      </c>
      <c r="D425" s="65">
        <v>1.0</v>
      </c>
      <c r="E425" s="60"/>
      <c r="F425" s="61">
        <f t="shared" si="1"/>
        <v>45670.70125</v>
      </c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57" t="s">
        <v>1044</v>
      </c>
      <c r="C426" s="58" t="str">
        <f>IFERROR(VLOOKUP(B426 ,INVENTARIO!$B$2:C994,2,0),"")</f>
        <v>Pinza de precion tipo C soldador</v>
      </c>
      <c r="D426" s="65">
        <v>0.0</v>
      </c>
      <c r="E426" s="60"/>
      <c r="F426" s="61">
        <f t="shared" si="1"/>
        <v>45670.70139</v>
      </c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57" t="s">
        <v>1046</v>
      </c>
      <c r="C427" s="58" t="str">
        <f>IFERROR(VLOOKUP(B427 ,INVENTARIO!$B$2:C994,2,0),"")</f>
        <v>cinta aisladora negra rollo grande</v>
      </c>
      <c r="D427" s="65">
        <v>5.0</v>
      </c>
      <c r="E427" s="60"/>
      <c r="F427" s="61">
        <f t="shared" si="1"/>
        <v>45670.70165</v>
      </c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57" t="s">
        <v>1049</v>
      </c>
      <c r="C428" s="58" t="str">
        <f>IFERROR(VLOOKUP(B428 ,INVENTARIO!$B$2:C994,2,0),"")</f>
        <v>rollo ancho</v>
      </c>
      <c r="D428" s="65">
        <v>2.0</v>
      </c>
      <c r="E428" s="60"/>
      <c r="F428" s="61">
        <f t="shared" si="1"/>
        <v>45670.70176</v>
      </c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57" t="s">
        <v>1051</v>
      </c>
      <c r="C429" s="58" t="str">
        <f>IFERROR(VLOOKUP(B429 ,INVENTARIO!$B$2:C994,2,0),"")</f>
        <v>rollo ancho</v>
      </c>
      <c r="D429" s="65">
        <v>1.0</v>
      </c>
      <c r="E429" s="60"/>
      <c r="F429" s="61">
        <f t="shared" si="1"/>
        <v>45670.70192</v>
      </c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57" t="s">
        <v>1052</v>
      </c>
      <c r="C430" s="58" t="str">
        <f>IFERROR(VLOOKUP(B430 ,INVENTARIO!$B$2:C994,2,0),"")</f>
        <v>pilas doble A</v>
      </c>
      <c r="D430" s="65">
        <v>7.0</v>
      </c>
      <c r="E430" s="60"/>
      <c r="F430" s="61">
        <f t="shared" si="1"/>
        <v>45670.70204</v>
      </c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57" t="s">
        <v>1054</v>
      </c>
      <c r="C431" s="58" t="str">
        <f>IFERROR(VLOOKUP(B431 ,INVENTARIO!$B$2:C994,2,0),"")</f>
        <v>pilas triple A</v>
      </c>
      <c r="D431" s="65">
        <v>12.0</v>
      </c>
      <c r="E431" s="60"/>
      <c r="F431" s="61">
        <f t="shared" si="1"/>
        <v>45670.70212</v>
      </c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57" t="s">
        <v>1056</v>
      </c>
      <c r="C432" s="58" t="str">
        <f>IFERROR(VLOOKUP(B432 ,INVENTARIO!$B$2:C994,2,0),"")</f>
        <v>pila de 9v</v>
      </c>
      <c r="D432" s="65">
        <v>2.0</v>
      </c>
      <c r="E432" s="60"/>
      <c r="F432" s="61">
        <f t="shared" si="1"/>
        <v>45670.70222</v>
      </c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57" t="s">
        <v>1058</v>
      </c>
      <c r="C433" s="58" t="str">
        <f>IFERROR(VLOOKUP(B433 ,INVENTARIO!$B$2:C994,2,0),"")</f>
        <v>pilas cr2032 -3v</v>
      </c>
      <c r="D433" s="65">
        <v>5.0</v>
      </c>
      <c r="E433" s="60"/>
      <c r="F433" s="61">
        <f t="shared" si="1"/>
        <v>45670.7023</v>
      </c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57" t="s">
        <v>1061</v>
      </c>
      <c r="C434" s="58" t="str">
        <f>IFERROR(VLOOKUP(B434 ,INVENTARIO!$B$2:C994,2,0),"")</f>
        <v>pilas cr1220 -3v</v>
      </c>
      <c r="D434" s="65">
        <v>2.0</v>
      </c>
      <c r="E434" s="60"/>
      <c r="F434" s="61">
        <f t="shared" si="1"/>
        <v>45670.70239</v>
      </c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57" t="s">
        <v>1063</v>
      </c>
      <c r="C435" s="58" t="str">
        <f>IFERROR(VLOOKUP(B435 ,INVENTARIO!$B$2:C994,2,0),"")</f>
        <v>pilas a76</v>
      </c>
      <c r="D435" s="65">
        <v>1.0</v>
      </c>
      <c r="E435" s="60"/>
      <c r="F435" s="61">
        <f t="shared" si="1"/>
        <v>45670.70247</v>
      </c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57" t="s">
        <v>1066</v>
      </c>
      <c r="C436" s="58" t="str">
        <f>IFERROR(VLOOKUP(B436 ,INVENTARIO!$B$2:C994,2,0),"")</f>
        <v>precintos de 100/2.5</v>
      </c>
      <c r="D436" s="65">
        <v>3.0</v>
      </c>
      <c r="E436" s="60"/>
      <c r="F436" s="61">
        <f t="shared" si="1"/>
        <v>45670.70261</v>
      </c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57" t="s">
        <v>1068</v>
      </c>
      <c r="C437" s="58" t="str">
        <f>IFERROR(VLOOKUP(B437 ,INVENTARIO!$B$2:C994,2,0),"")</f>
        <v>precintos de 150x3.6</v>
      </c>
      <c r="D437" s="65">
        <v>1.0</v>
      </c>
      <c r="E437" s="60"/>
      <c r="F437" s="61">
        <f t="shared" si="1"/>
        <v>45670.70282</v>
      </c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57" t="s">
        <v>1070</v>
      </c>
      <c r="C438" s="58" t="str">
        <f>IFERROR(VLOOKUP(B438 ,INVENTARIO!$B$2:C994,2,0),"")</f>
        <v>precintos de 180/3,2</v>
      </c>
      <c r="D438" s="65">
        <v>0.0</v>
      </c>
      <c r="E438" s="60"/>
      <c r="F438" s="61">
        <f t="shared" si="1"/>
        <v>45670.70294</v>
      </c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57" t="s">
        <v>1072</v>
      </c>
      <c r="C439" s="58" t="str">
        <f>IFERROR(VLOOKUP(B439 ,INVENTARIO!$B$2:C994,2,0),"")</f>
        <v>precintos de 200x4,6</v>
      </c>
      <c r="D439" s="65">
        <v>0.0</v>
      </c>
      <c r="E439" s="60"/>
      <c r="F439" s="61">
        <f t="shared" si="1"/>
        <v>45670.70304</v>
      </c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57" t="s">
        <v>1074</v>
      </c>
      <c r="C440" s="58" t="str">
        <f>IFERROR(VLOOKUP(B440 ,INVENTARIO!$B$2:C994,2,0),"")</f>
        <v>precintos de 290x4,8</v>
      </c>
      <c r="D440" s="65">
        <v>1.0</v>
      </c>
      <c r="E440" s="60"/>
      <c r="F440" s="61">
        <f t="shared" si="1"/>
        <v>45670.70314</v>
      </c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57" t="s">
        <v>1076</v>
      </c>
      <c r="C441" s="58" t="str">
        <f>IFERROR(VLOOKUP(B441 ,INVENTARIO!$B$2:C994,2,0),"")</f>
        <v>precintos de 300/4,8</v>
      </c>
      <c r="D441" s="65">
        <v>0.0</v>
      </c>
      <c r="E441" s="60"/>
      <c r="F441" s="61">
        <f t="shared" si="1"/>
        <v>45670.70325</v>
      </c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57" t="s">
        <v>1078</v>
      </c>
      <c r="C442" s="58" t="str">
        <f>IFERROR(VLOOKUP(B442 ,INVENTARIO!$B$2:C994,2,0),"")</f>
        <v>precintos de 370/4,8</v>
      </c>
      <c r="D442" s="65">
        <v>1.0</v>
      </c>
      <c r="E442" s="60"/>
      <c r="F442" s="61">
        <f t="shared" si="1"/>
        <v>45670.70341</v>
      </c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57" t="s">
        <v>1080</v>
      </c>
      <c r="C443" s="58" t="str">
        <f>IFERROR(VLOOKUP(B443 ,INVENTARIO!$B$2:C994,2,0),"")</f>
        <v>precintos de 250/ 4,8</v>
      </c>
      <c r="D443" s="65">
        <v>1.0</v>
      </c>
      <c r="E443" s="60"/>
      <c r="F443" s="61">
        <f t="shared" si="1"/>
        <v>45670.70353</v>
      </c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57" t="s">
        <v>1082</v>
      </c>
      <c r="C444" s="58" t="str">
        <f>IFERROR(VLOOKUP(B444 ,INVENTARIO!$B$2:C994,2,0),"")</f>
        <v>largos</v>
      </c>
      <c r="D444" s="65">
        <v>2.0</v>
      </c>
      <c r="E444" s="60"/>
      <c r="F444" s="61">
        <f t="shared" si="1"/>
        <v>45670.70364</v>
      </c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57" t="s">
        <v>1084</v>
      </c>
      <c r="C445" s="58" t="str">
        <f>IFERROR(VLOOKUP(B445 ,INVENTARIO!$B$2:C994,2,0),"")</f>
        <v/>
      </c>
      <c r="D445" s="65">
        <v>1.0</v>
      </c>
      <c r="E445" s="60"/>
      <c r="F445" s="61">
        <f t="shared" si="1"/>
        <v>45670.70376</v>
      </c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57" t="s">
        <v>1085</v>
      </c>
      <c r="C446" s="58" t="str">
        <f>IFERROR(VLOOKUP(B446 ,INVENTARIO!$B$2:C994,2,0),"")</f>
        <v>Cinta p/ persiana plastica</v>
      </c>
      <c r="D446" s="65">
        <v>1.65</v>
      </c>
      <c r="E446" s="60"/>
      <c r="F446" s="61">
        <f t="shared" si="1"/>
        <v>45670.70387</v>
      </c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57" t="s">
        <v>1088</v>
      </c>
      <c r="C447" s="58" t="str">
        <f>IFERROR(VLOOKUP(B447 ,INVENTARIO!$B$2:C994,2,0),"")</f>
        <v>adhesivo instantaneo suprabond</v>
      </c>
      <c r="D447" s="65">
        <v>1.0</v>
      </c>
      <c r="E447" s="60"/>
      <c r="F447" s="61">
        <f t="shared" si="1"/>
        <v>45670.70409</v>
      </c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57" t="s">
        <v>1090</v>
      </c>
      <c r="C448" s="58" t="str">
        <f>IFERROR(VLOOKUP(B448 ,INVENTARIO!$B$2:C994,2,0),"")</f>
        <v>superpox acero</v>
      </c>
      <c r="D448" s="65">
        <v>1.0</v>
      </c>
      <c r="E448" s="60"/>
      <c r="F448" s="61">
        <f t="shared" si="1"/>
        <v>45670.70423</v>
      </c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57" t="s">
        <v>1092</v>
      </c>
      <c r="C449" s="58" t="str">
        <f>IFERROR(VLOOKUP(B449 ,INVENTARIO!$B$2:C994,2,0),"")</f>
        <v>grande</v>
      </c>
      <c r="D449" s="65">
        <v>1.0</v>
      </c>
      <c r="E449" s="60"/>
      <c r="F449" s="61">
        <f t="shared" si="1"/>
        <v>45670.70434</v>
      </c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57" t="s">
        <v>1885</v>
      </c>
      <c r="C450" s="58" t="str">
        <f>IFERROR(VLOOKUP(B450 ,INVENTARIO!$B$2:C994,2,0),"")</f>
        <v/>
      </c>
      <c r="D450" s="65">
        <v>2.0</v>
      </c>
      <c r="E450" s="60"/>
      <c r="F450" s="61">
        <f t="shared" si="1"/>
        <v>45670.70451</v>
      </c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57" t="s">
        <v>1097</v>
      </c>
      <c r="C451" s="58" t="str">
        <f>IFERROR(VLOOKUP(B451 ,INVENTARIO!$B$2:C994,2,0),"")</f>
        <v>Casiba 301 SP (filtro de aire intermedio)</v>
      </c>
      <c r="D451" s="65">
        <v>0.0</v>
      </c>
      <c r="E451" s="60"/>
      <c r="F451" s="61">
        <f t="shared" si="1"/>
        <v>45671.5449</v>
      </c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57" t="s">
        <v>1102</v>
      </c>
      <c r="C452" s="58" t="str">
        <f>IFERROR(VLOOKUP(B452 ,INVENTARIO!$B$2:C994,2,0),"")</f>
        <v>Casiba PC-8 (filtro de aire final)</v>
      </c>
      <c r="D452" s="65">
        <v>0.0</v>
      </c>
      <c r="E452" s="60"/>
      <c r="F452" s="61">
        <f t="shared" si="1"/>
        <v>45671.54499</v>
      </c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57" t="s">
        <v>1104</v>
      </c>
      <c r="C453" s="58" t="str">
        <f>IFERROR(VLOOKUP(B453 ,INVENTARIO!$B$2:C994,2,0),"")</f>
        <v>Sierras de rebanadora (por juego)</v>
      </c>
      <c r="D453" s="65">
        <v>2.0</v>
      </c>
      <c r="E453" s="60"/>
      <c r="F453" s="61">
        <f t="shared" si="1"/>
        <v>45671.54507</v>
      </c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57" t="s">
        <v>1916</v>
      </c>
      <c r="C454" s="58" t="str">
        <f>IFERROR(VLOOKUP(B454 ,INVENTARIO!$B$2:C994,2,0),"")</f>
        <v/>
      </c>
      <c r="D454" s="65">
        <v>1.0</v>
      </c>
      <c r="E454" s="60"/>
      <c r="F454" s="61">
        <f t="shared" si="1"/>
        <v>45671.54517</v>
      </c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57" t="s">
        <v>1112</v>
      </c>
      <c r="C455" s="58" t="str">
        <f>IFERROR(VLOOKUP(B455 ,INVENTARIO!$B$2:C994,2,0),"")</f>
        <v>Martillo goma y plastico</v>
      </c>
      <c r="D455" s="65">
        <v>1.0</v>
      </c>
      <c r="E455" s="60"/>
      <c r="F455" s="61">
        <f t="shared" si="1"/>
        <v>45671.54564</v>
      </c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57" t="s">
        <v>1114</v>
      </c>
      <c r="C456" s="58" t="str">
        <f>IFERROR(VLOOKUP(B456 ,INVENTARIO!$B$2:C994,2,0),"")</f>
        <v>Resistencias traversales</v>
      </c>
      <c r="D456" s="65">
        <v>0.0</v>
      </c>
      <c r="E456" s="60"/>
      <c r="F456" s="61">
        <f t="shared" si="1"/>
        <v>45671.54575</v>
      </c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57" t="s">
        <v>1117</v>
      </c>
      <c r="C457" s="58" t="str">
        <f>IFERROR(VLOOKUP(B457 ,INVENTARIO!$B$2:C994,2,0),"")</f>
        <v>Tapa discos celladores</v>
      </c>
      <c r="D457" s="65">
        <v>2.0</v>
      </c>
      <c r="E457" s="60"/>
      <c r="F457" s="61">
        <f t="shared" si="1"/>
        <v>45671.54583</v>
      </c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57" t="s">
        <v>1119</v>
      </c>
      <c r="C458" s="58" t="str">
        <f>IFERROR(VLOOKUP(B458 ,INVENTARIO!$B$2:C994,2,0),"")</f>
        <v>Acoples de encoder</v>
      </c>
      <c r="D458" s="65">
        <v>7.0</v>
      </c>
      <c r="E458" s="60"/>
      <c r="F458" s="61">
        <f t="shared" si="1"/>
        <v>45671.54592</v>
      </c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57" t="s">
        <v>1121</v>
      </c>
      <c r="C459" s="58" t="str">
        <f>IFERROR(VLOOKUP(B459 ,INVENTARIO!$B$2:C994,2,0),"")</f>
        <v>3x2,5mm tipo taller</v>
      </c>
      <c r="D459" s="65">
        <v>2.0</v>
      </c>
      <c r="E459" s="60"/>
      <c r="F459" s="61">
        <f t="shared" si="1"/>
        <v>45671.546</v>
      </c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57" t="s">
        <v>1123</v>
      </c>
      <c r="C460" s="58" t="str">
        <f>IFERROR(VLOOKUP(B460 ,INVENTARIO!$B$2:C994,2,0),"")</f>
        <v>2x1,5mm tipo taller</v>
      </c>
      <c r="D460" s="65">
        <v>0.0</v>
      </c>
      <c r="E460" s="60"/>
      <c r="F460" s="61">
        <f t="shared" si="1"/>
        <v>45671.54608</v>
      </c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57" t="s">
        <v>1125</v>
      </c>
      <c r="C461" s="58" t="str">
        <f>IFERROR(VLOOKUP(B461 ,INVENTARIO!$B$2:C994,2,0),"")</f>
        <v>5x2,5mm tipo taller</v>
      </c>
      <c r="D461" s="65">
        <v>0.0</v>
      </c>
      <c r="E461" s="60"/>
      <c r="F461" s="61">
        <f t="shared" si="1"/>
        <v>45671.54619</v>
      </c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57" t="s">
        <v>1127</v>
      </c>
      <c r="C462" s="58" t="str">
        <f>IFERROR(VLOOKUP(B462 ,INVENTARIO!$B$2:C994,2,0),"")</f>
        <v>5x4mm tipo taller</v>
      </c>
      <c r="D462" s="65">
        <v>80.0</v>
      </c>
      <c r="E462" s="60"/>
      <c r="F462" s="61">
        <f t="shared" si="1"/>
        <v>45671.5463</v>
      </c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57" t="s">
        <v>1129</v>
      </c>
      <c r="C463" s="58" t="str">
        <f>IFERROR(VLOOKUP(B463 ,INVENTARIO!$B$2:C994,2,0),"")</f>
        <v>retenedor de puertas de camion</v>
      </c>
      <c r="D463" s="62">
        <v>1.0</v>
      </c>
      <c r="E463" s="60"/>
      <c r="F463" s="61">
        <f t="shared" si="1"/>
        <v>45671.54641</v>
      </c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57" t="s">
        <v>1134</v>
      </c>
      <c r="C464" s="58" t="str">
        <f>IFERROR(VLOOKUP(B464 ,INVENTARIO!$B$2:C994,2,0),"")</f>
        <v>protector transparente </v>
      </c>
      <c r="D464" s="62">
        <v>3.0</v>
      </c>
      <c r="E464" s="60"/>
      <c r="F464" s="61">
        <f t="shared" si="1"/>
        <v>45671.54653</v>
      </c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57" t="s">
        <v>1137</v>
      </c>
      <c r="C465" s="58" t="str">
        <f>IFERROR(VLOOKUP(B465 ,INVENTARIO!$B$2:C994,2,0),"")</f>
        <v>MH18C406B</v>
      </c>
      <c r="D465" s="62">
        <v>3.0</v>
      </c>
      <c r="E465" s="60"/>
      <c r="F465" s="61">
        <f t="shared" si="1"/>
        <v>45671.54665</v>
      </c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57" t="s">
        <v>1140</v>
      </c>
      <c r="C466" s="58" t="str">
        <f>IFERROR(VLOOKUP(B466 ,INVENTARIO!$B$2:C994,2,0),"")</f>
        <v>KIT DE REP-K030A1</v>
      </c>
      <c r="D466" s="64">
        <v>1.0</v>
      </c>
      <c r="E466" s="60"/>
      <c r="F466" s="61">
        <f t="shared" si="1"/>
        <v>45671.5468</v>
      </c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57" t="s">
        <v>1142</v>
      </c>
      <c r="C467" s="58" t="str">
        <f>IFERROR(VLOOKUP(B467 ,INVENTARIO!$B$2:C994,2,0),"")</f>
        <v>VAL-SEGURID-1.5</v>
      </c>
      <c r="D467" s="65">
        <v>2.0</v>
      </c>
      <c r="E467" s="60"/>
      <c r="F467" s="61">
        <f t="shared" si="1"/>
        <v>45671.5468</v>
      </c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57" t="s">
        <v>1145</v>
      </c>
      <c r="C468" s="58" t="str">
        <f>IFERROR(VLOOKUP(B468 ,INVENTARIO!$B$2:C994,2,0),"")</f>
        <v>val-segur-13kg./cm</v>
      </c>
      <c r="D468" s="65">
        <v>1.0</v>
      </c>
      <c r="E468" s="60"/>
      <c r="F468" s="61">
        <f t="shared" si="1"/>
        <v>45671.54776</v>
      </c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57" t="s">
        <v>1148</v>
      </c>
      <c r="C469" s="58" t="str">
        <f>IFERROR(VLOOKUP(B469 ,INVENTARIO!$B$2:C994,2,0),"")</f>
        <v>val-segur-9.5kg./cm</v>
      </c>
      <c r="D469" s="65">
        <v>1.0</v>
      </c>
      <c r="E469" s="60"/>
      <c r="F469" s="61">
        <f t="shared" si="1"/>
        <v>45671.54801</v>
      </c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57" t="s">
        <v>1151</v>
      </c>
      <c r="C470" s="58" t="str">
        <f>IFERROR(VLOOKUP(B470 ,INVENTARIO!$B$2:C994,2,0),"")</f>
        <v>val-segur 11kg</v>
      </c>
      <c r="D470" s="65">
        <v>0.0</v>
      </c>
      <c r="E470" s="60"/>
      <c r="F470" s="61">
        <f t="shared" si="1"/>
        <v>45671.54809</v>
      </c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57" t="s">
        <v>1154</v>
      </c>
      <c r="C471" s="58" t="str">
        <f>IFERROR(VLOOKUP(B471 ,INVENTARIO!$B$2:C994,2,0),"")</f>
        <v>VAL-ESFERICA-3/4</v>
      </c>
      <c r="D471" s="65">
        <v>0.0</v>
      </c>
      <c r="E471" s="60"/>
      <c r="F471" s="61">
        <f t="shared" si="1"/>
        <v>45671.54818</v>
      </c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57" t="s">
        <v>1157</v>
      </c>
      <c r="C472" s="58" t="str">
        <f>IFERROR(VLOOKUP(B472 ,INVENTARIO!$B$2:C994,2,0),"")</f>
        <v>TERMODINAMICA</v>
      </c>
      <c r="D472" s="65">
        <v>2.0</v>
      </c>
      <c r="E472" s="60"/>
      <c r="F472" s="61">
        <f t="shared" si="1"/>
        <v>45671.54828</v>
      </c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57" t="s">
        <v>1159</v>
      </c>
      <c r="C473" s="58" t="str">
        <f>IFERROR(VLOOKUP(B473 ,INVENTARIO!$B$2:C994,2,0),"")</f>
        <v>ACOPLE-T 3/4</v>
      </c>
      <c r="D473" s="65">
        <v>1.0</v>
      </c>
      <c r="E473" s="60"/>
      <c r="F473" s="61">
        <f t="shared" si="1"/>
        <v>45671.54836</v>
      </c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57" t="s">
        <v>1162</v>
      </c>
      <c r="C474" s="58" t="str">
        <f>IFERROR(VLOOKUP(B474 ,INVENTARIO!$B$2:C994,2,0),"")</f>
        <v>DE 1" A 3/4</v>
      </c>
      <c r="D474" s="65">
        <v>2.0</v>
      </c>
      <c r="E474" s="60"/>
      <c r="F474" s="61">
        <f t="shared" si="1"/>
        <v>45671.54875</v>
      </c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57" t="s">
        <v>1164</v>
      </c>
      <c r="C475" s="58" t="str">
        <f>IFERROR(VLOOKUP(B475 ,INVENTARIO!$B$2:C994,2,0),"")</f>
        <v>250/125VCA-3A</v>
      </c>
      <c r="D475" s="65">
        <v>1.0</v>
      </c>
      <c r="E475" s="60"/>
      <c r="F475" s="61">
        <f t="shared" si="1"/>
        <v>45671.54886</v>
      </c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57" t="s">
        <v>1167</v>
      </c>
      <c r="C476" s="58" t="str">
        <f>IFERROR(VLOOKUP(B476 ,INVENTARIO!$B$2:C994,2,0),"")</f>
        <v>DC13=12W.220V</v>
      </c>
      <c r="D476" s="65">
        <v>3.0</v>
      </c>
      <c r="E476" s="60"/>
      <c r="F476" s="61">
        <f t="shared" si="1"/>
        <v>45671.54901</v>
      </c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57" t="s">
        <v>1170</v>
      </c>
      <c r="C477" s="58" t="str">
        <f>IFERROR(VLOOKUP(B477 ,INVENTARIO!$B$2:C994,2,0),"")</f>
        <v>250/125VCA-3A</v>
      </c>
      <c r="D477" s="65">
        <v>1.0</v>
      </c>
      <c r="E477" s="60"/>
      <c r="F477" s="61">
        <f t="shared" si="1"/>
        <v>45671.54914</v>
      </c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57" t="s">
        <v>1175</v>
      </c>
      <c r="C478" s="58" t="str">
        <f>IFERROR(VLOOKUP(B478 ,INVENTARIO!$B$2:C994,2,0),"")</f>
        <v>SENSOR DE LLAMA</v>
      </c>
      <c r="D478" s="65">
        <v>3.0</v>
      </c>
      <c r="E478" s="60"/>
      <c r="F478" s="61">
        <f t="shared" si="1"/>
        <v>45671.54923</v>
      </c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57" t="s">
        <v>1182</v>
      </c>
      <c r="C479" s="58" t="str">
        <f>IFERROR(VLOOKUP(B479 ,INVENTARIO!$B$2:C994,2,0),"")</f>
        <v>SENSOR DE CHISPA</v>
      </c>
      <c r="D479" s="65">
        <v>3.0</v>
      </c>
      <c r="E479" s="60"/>
      <c r="F479" s="61">
        <f t="shared" si="1"/>
        <v>45671.54934</v>
      </c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57" t="s">
        <v>1185</v>
      </c>
      <c r="C480" s="58" t="str">
        <f>IFERROR(VLOOKUP(B480 ,INVENTARIO!$B$2:C994,2,0),"")</f>
        <v>capacitor</v>
      </c>
      <c r="D480" s="65">
        <v>2.0</v>
      </c>
      <c r="E480" s="60"/>
      <c r="F480" s="61">
        <f t="shared" si="1"/>
        <v>45671.54949</v>
      </c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57" t="s">
        <v>1187</v>
      </c>
      <c r="C481" s="58" t="str">
        <f>IFERROR(VLOOKUP(B481 ,INVENTARIO!$B$2:C994,2,0),"")</f>
        <v>capacitor</v>
      </c>
      <c r="D481" s="65">
        <v>3.0</v>
      </c>
      <c r="E481" s="60"/>
      <c r="F481" s="61">
        <f t="shared" si="1"/>
        <v>45671.54958</v>
      </c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57" t="s">
        <v>1188</v>
      </c>
      <c r="C482" s="58" t="str">
        <f>IFERROR(VLOOKUP(B482 ,INVENTARIO!$B$2:C994,2,0),"")</f>
        <v>capacitor</v>
      </c>
      <c r="D482" s="65">
        <v>3.0</v>
      </c>
      <c r="E482" s="60"/>
      <c r="F482" s="61">
        <f t="shared" si="1"/>
        <v>45671.54971</v>
      </c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57" t="s">
        <v>1189</v>
      </c>
      <c r="C483" s="58" t="str">
        <f>IFERROR(VLOOKUP(B483 ,INVENTARIO!$B$2:C994,2,0),"")</f>
        <v>capacitor</v>
      </c>
      <c r="D483" s="65">
        <v>1.0</v>
      </c>
      <c r="E483" s="60"/>
      <c r="F483" s="61">
        <f t="shared" si="1"/>
        <v>45671.54984</v>
      </c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57" t="s">
        <v>1190</v>
      </c>
      <c r="C484" s="58" t="str">
        <f>IFERROR(VLOOKUP(B484 ,INVENTARIO!$B$2:C994,2,0),"")</f>
        <v>capacitor</v>
      </c>
      <c r="D484" s="65">
        <v>1.0</v>
      </c>
      <c r="E484" s="60"/>
      <c r="F484" s="61">
        <f t="shared" si="1"/>
        <v>45671.54992</v>
      </c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57" t="s">
        <v>1917</v>
      </c>
      <c r="C485" s="58" t="str">
        <f>IFERROR(VLOOKUP(B485 ,INVENTARIO!$B$2:C994,2,0),"")</f>
        <v/>
      </c>
      <c r="D485" s="65">
        <v>2.0</v>
      </c>
      <c r="E485" s="60"/>
      <c r="F485" s="61">
        <f t="shared" si="1"/>
        <v>45671.55003</v>
      </c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57" t="s">
        <v>1918</v>
      </c>
      <c r="C486" s="58" t="str">
        <f>IFERROR(VLOOKUP(B486 ,INVENTARIO!$B$2:C994,2,0),"")</f>
        <v/>
      </c>
      <c r="D486" s="65">
        <v>1.0</v>
      </c>
      <c r="E486" s="60"/>
      <c r="F486" s="61">
        <f t="shared" si="1"/>
        <v>45671.55013</v>
      </c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57" t="s">
        <v>1199</v>
      </c>
      <c r="C487" s="58" t="str">
        <f>IFERROR(VLOOKUP(B487 ,INVENTARIO!$B$2:C994,2,0),"")</f>
        <v/>
      </c>
      <c r="D487" s="67"/>
      <c r="E487" s="60"/>
      <c r="F487" s="61">
        <f t="shared" si="1"/>
        <v>45671.55024</v>
      </c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57" t="s">
        <v>1200</v>
      </c>
      <c r="C488" s="58" t="str">
        <f>IFERROR(VLOOKUP(B488 ,INVENTARIO!$B$2:C994,2,0),"")</f>
        <v/>
      </c>
      <c r="D488" s="67"/>
      <c r="E488" s="60"/>
      <c r="F488" s="61">
        <f t="shared" si="1"/>
        <v>45671.55037</v>
      </c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57" t="s">
        <v>1201</v>
      </c>
      <c r="C489" s="58" t="str">
        <f>IFERROR(VLOOKUP(B489 ,INVENTARIO!$B$2:C994,2,0),"")</f>
        <v/>
      </c>
      <c r="D489" s="67"/>
      <c r="E489" s="60"/>
      <c r="F489" s="61">
        <f t="shared" si="1"/>
        <v>45671.55048</v>
      </c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57" t="s">
        <v>1206</v>
      </c>
      <c r="C490" s="58" t="str">
        <f>IFERROR(VLOOKUP(B490 ,INVENTARIO!$B$2:C994,2,0),"")</f>
        <v>interrup-posicion</v>
      </c>
      <c r="D490" s="65">
        <v>2.0</v>
      </c>
      <c r="E490" s="60"/>
      <c r="F490" s="61">
        <f t="shared" si="1"/>
        <v>45671.55058</v>
      </c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57" t="s">
        <v>1209</v>
      </c>
      <c r="C491" s="58" t="str">
        <f>IFERROR(VLOOKUP(B491 ,INVENTARIO!$B$2:C994,2,0),"")</f>
        <v>interrup-posicion</v>
      </c>
      <c r="D491" s="65">
        <v>0.0</v>
      </c>
      <c r="E491" s="60"/>
      <c r="F491" s="61">
        <f t="shared" si="1"/>
        <v>45671.55071</v>
      </c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57" t="s">
        <v>1210</v>
      </c>
      <c r="C492" s="58" t="str">
        <f>IFERROR(VLOOKUP(B492 ,INVENTARIO!$B$2:C994,2,0),"")</f>
        <v>interrup-posicion</v>
      </c>
      <c r="D492" s="65">
        <v>4.0</v>
      </c>
      <c r="E492" s="60"/>
      <c r="F492" s="61">
        <f t="shared" si="1"/>
        <v>45671.55086</v>
      </c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57" t="s">
        <v>1212</v>
      </c>
      <c r="C493" s="58" t="str">
        <f>IFERROR(VLOOKUP(B493 ,INVENTARIO!$B$2:C994,2,0),"")</f>
        <v>SENSOR fotoelectrico</v>
      </c>
      <c r="D493" s="65">
        <v>1.0</v>
      </c>
      <c r="E493" s="60"/>
      <c r="F493" s="61">
        <f t="shared" si="1"/>
        <v>45671.55096</v>
      </c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57" t="s">
        <v>1215</v>
      </c>
      <c r="C494" s="58" t="str">
        <f>IFERROR(VLOOKUP(B494 ,INVENTARIO!$B$2:C994,2,0),"")</f>
        <v>trafo-220-110volt.</v>
      </c>
      <c r="D494" s="65">
        <v>2.0</v>
      </c>
      <c r="E494" s="60"/>
      <c r="F494" s="61">
        <f t="shared" si="1"/>
        <v>45671.55104</v>
      </c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57" t="s">
        <v>1218</v>
      </c>
      <c r="C495" s="58" t="str">
        <f>IFERROR(VLOOKUP(B495 ,INVENTARIO!$B$2:C994,2,0),"")</f>
        <v>tranformador d 220v a 24v</v>
      </c>
      <c r="D495" s="65">
        <v>2.0</v>
      </c>
      <c r="E495" s="60"/>
      <c r="F495" s="61">
        <f t="shared" si="1"/>
        <v>45671.55115</v>
      </c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57" t="s">
        <v>1919</v>
      </c>
      <c r="C496" s="58" t="str">
        <f>IFERROR(VLOOKUP(B496 ,INVENTARIO!$B$2:C994,2,0),"")</f>
        <v/>
      </c>
      <c r="D496" s="65">
        <v>0.0</v>
      </c>
      <c r="E496" s="60"/>
      <c r="F496" s="61">
        <f t="shared" si="1"/>
        <v>45671.5513</v>
      </c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57" t="s">
        <v>1223</v>
      </c>
      <c r="C497" s="58" t="str">
        <f>IFERROR(VLOOKUP(B497 ,INVENTARIO!$B$2:C994,2,0),"")</f>
        <v>termica bipolar</v>
      </c>
      <c r="D497" s="65">
        <v>2.0</v>
      </c>
      <c r="E497" s="60"/>
      <c r="F497" s="61">
        <f t="shared" si="1"/>
        <v>45671.5515</v>
      </c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57" t="s">
        <v>1226</v>
      </c>
      <c r="C498" s="58" t="str">
        <f>IFERROR(VLOOKUP(B498 ,INVENTARIO!$B$2:C994,2,0),"")</f>
        <v>termicas bipolar</v>
      </c>
      <c r="D498" s="65">
        <v>1.0</v>
      </c>
      <c r="E498" s="60"/>
      <c r="F498" s="61">
        <f t="shared" si="1"/>
        <v>45671.55375</v>
      </c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57" t="s">
        <v>1228</v>
      </c>
      <c r="C499" s="58" t="str">
        <f>IFERROR(VLOOKUP(B499 ,INVENTARIO!$B$2:C994,2,0),"")</f>
        <v>termica unipolar</v>
      </c>
      <c r="D499" s="65">
        <v>6.0</v>
      </c>
      <c r="E499" s="60"/>
      <c r="F499" s="61">
        <f t="shared" si="1"/>
        <v>45671.55479</v>
      </c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57" t="s">
        <v>1230</v>
      </c>
      <c r="C500" s="58" t="str">
        <f>IFERROR(VLOOKUP(B500 ,INVENTARIO!$B$2:C994,2,0),"")</f>
        <v>termica 230v-C10 -P32</v>
      </c>
      <c r="D500" s="65">
        <v>1.0</v>
      </c>
      <c r="E500" s="60"/>
      <c r="F500" s="61">
        <f t="shared" si="1"/>
        <v>45671.55491</v>
      </c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57" t="s">
        <v>1232</v>
      </c>
      <c r="C501" s="58" t="str">
        <f>IFERROR(VLOOKUP(B501 ,INVENTARIO!$B$2:C994,2,0),"")</f>
        <v>llave termica trifasica con neutro</v>
      </c>
      <c r="D501" s="65">
        <v>1.0</v>
      </c>
      <c r="E501" s="60"/>
      <c r="F501" s="61">
        <f t="shared" si="1"/>
        <v>45671.55501</v>
      </c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57" t="s">
        <v>1234</v>
      </c>
      <c r="C502" s="58" t="str">
        <f>IFERROR(VLOOKUP(B502 ,INVENTARIO!$B$2:C994,2,0),"")</f>
        <v>llave termica trifasica con neutro</v>
      </c>
      <c r="D502" s="65">
        <v>1.0</v>
      </c>
      <c r="E502" s="60"/>
      <c r="F502" s="61">
        <f t="shared" si="1"/>
        <v>45671.55516</v>
      </c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57" t="s">
        <v>1235</v>
      </c>
      <c r="C503" s="58" t="str">
        <f>IFERROR(VLOOKUP(B503 ,INVENTARIO!$B$2:C994,2,0),"")</f>
        <v>llave termica trifasica</v>
      </c>
      <c r="D503" s="65">
        <v>1.0</v>
      </c>
      <c r="E503" s="60"/>
      <c r="F503" s="61">
        <f t="shared" si="1"/>
        <v>45671.55604</v>
      </c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57" t="s">
        <v>1237</v>
      </c>
      <c r="C504" s="58" t="str">
        <f>IFERROR(VLOOKUP(B504 ,INVENTARIO!$B$2:C994,2,0),"")</f>
        <v>llave termica trifasica con neutro</v>
      </c>
      <c r="D504" s="65">
        <v>1.0</v>
      </c>
      <c r="E504" s="60"/>
      <c r="F504" s="61">
        <f t="shared" si="1"/>
        <v>45671.55643</v>
      </c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57" t="s">
        <v>1238</v>
      </c>
      <c r="C505" s="58" t="str">
        <f>IFERROR(VLOOKUP(B505 ,INVENTARIO!$B$2:C994,2,0),"")</f>
        <v>tapas octogonal chica</v>
      </c>
      <c r="D505" s="65">
        <v>5.0</v>
      </c>
      <c r="E505" s="60"/>
      <c r="F505" s="61">
        <f t="shared" si="1"/>
        <v>45671.55652</v>
      </c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57" t="s">
        <v>1240</v>
      </c>
      <c r="C506" s="58" t="str">
        <f>IFERROR(VLOOKUP(B506 ,INVENTARIO!$B$2:C994,2,0),"")</f>
        <v>relevo termico de 28 a 36</v>
      </c>
      <c r="D506" s="68">
        <v>1.0</v>
      </c>
      <c r="E506" s="60"/>
      <c r="F506" s="61">
        <f t="shared" si="1"/>
        <v>45671.55663</v>
      </c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57" t="s">
        <v>1242</v>
      </c>
      <c r="C507" s="58" t="str">
        <f>IFERROR(VLOOKUP(B507 ,INVENTARIO!$B$2:C994,2,0),"")</f>
        <v>relevo termico de 28 a 40</v>
      </c>
      <c r="D507" s="68">
        <v>1.0</v>
      </c>
      <c r="E507" s="60"/>
      <c r="F507" s="61">
        <f t="shared" si="1"/>
        <v>45671.55673</v>
      </c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57" t="s">
        <v>1244</v>
      </c>
      <c r="C508" s="58" t="str">
        <f>IFERROR(VLOOKUP(B508 ,INVENTARIO!$B$2:C994,2,0),"")</f>
        <v>relevo termico de 4,2 a 6,2</v>
      </c>
      <c r="D508" s="68">
        <v>0.0</v>
      </c>
      <c r="E508" s="60"/>
      <c r="F508" s="61">
        <f t="shared" si="1"/>
        <v>45671.56088</v>
      </c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57" t="s">
        <v>1246</v>
      </c>
      <c r="C509" s="58" t="str">
        <f>IFERROR(VLOOKUP(B509 ,INVENTARIO!$B$2:C994,2,0),"")</f>
        <v>relevo termico de 1,3 a 1,8</v>
      </c>
      <c r="D509" s="68">
        <v>0.0</v>
      </c>
      <c r="E509" s="60"/>
      <c r="F509" s="61">
        <f t="shared" si="1"/>
        <v>45671.56097</v>
      </c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57" t="s">
        <v>1249</v>
      </c>
      <c r="C510" s="58" t="str">
        <f>IFERROR(VLOOKUP(B510 ,INVENTARIO!$B$2:C994,2,0),"")</f>
        <v>guardamotor de 9 a 14</v>
      </c>
      <c r="D510" s="68">
        <v>1.0</v>
      </c>
      <c r="E510" s="60"/>
      <c r="F510" s="61">
        <f t="shared" si="1"/>
        <v>45671.56107</v>
      </c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57" t="s">
        <v>1251</v>
      </c>
      <c r="C511" s="58" t="str">
        <f>IFERROR(VLOOKUP(B511 ,INVENTARIO!$B$2:C994,2,0),"")</f>
        <v>contactor steck con nc y no bobina 220v</v>
      </c>
      <c r="D511" s="68">
        <v>1.0</v>
      </c>
      <c r="E511" s="60"/>
      <c r="F511" s="61">
        <f t="shared" si="1"/>
        <v>45671.56355</v>
      </c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57" t="s">
        <v>1254</v>
      </c>
      <c r="C512" s="58" t="str">
        <f>IFERROR(VLOOKUP(B512 ,INVENTARIO!$B$2:C994,2,0),"")</f>
        <v>contactor steck con nc y no bobina 380v</v>
      </c>
      <c r="D512" s="68">
        <v>1.0</v>
      </c>
      <c r="E512" s="60"/>
      <c r="F512" s="61">
        <f t="shared" si="1"/>
        <v>45671.56412</v>
      </c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57" t="s">
        <v>1256</v>
      </c>
      <c r="C513" s="58" t="str">
        <f>IFERROR(VLOOKUP(B513 ,INVENTARIO!$B$2:C994,2,0),"")</f>
        <v>contactor steck con nc y no bobina 24v</v>
      </c>
      <c r="D513" s="68">
        <v>1.0</v>
      </c>
      <c r="E513" s="60"/>
      <c r="F513" s="61">
        <f t="shared" si="1"/>
        <v>45671.56421</v>
      </c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57" t="s">
        <v>1258</v>
      </c>
      <c r="C514" s="58" t="str">
        <f>IFERROR(VLOOKUP(B514 ,INVENTARIO!$B$2:C994,2,0),"")</f>
        <v>contactor siemens</v>
      </c>
      <c r="D514" s="68">
        <v>1.0</v>
      </c>
      <c r="E514" s="60"/>
      <c r="F514" s="61">
        <f t="shared" si="1"/>
        <v>45671.56433</v>
      </c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57" t="s">
        <v>1260</v>
      </c>
      <c r="C515" s="58" t="str">
        <f>IFERROR(VLOOKUP(B515 ,INVENTARIO!$B$2:C994,2,0),"")</f>
        <v>contactor schneider con nc y no bobina 115v</v>
      </c>
      <c r="D515" s="68">
        <v>1.0</v>
      </c>
      <c r="E515" s="60"/>
      <c r="F515" s="61">
        <f t="shared" si="1"/>
        <v>45671.56444</v>
      </c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57" t="s">
        <v>1262</v>
      </c>
      <c r="C516" s="58" t="str">
        <f>IFERROR(VLOOKUP(B516 ,INVENTARIO!$B$2:C994,2,0),"")</f>
        <v>contactor con bobina 24v</v>
      </c>
      <c r="D516" s="68">
        <v>2.0</v>
      </c>
      <c r="E516" s="60"/>
      <c r="F516" s="61">
        <f t="shared" si="1"/>
        <v>45671.56545</v>
      </c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57" t="s">
        <v>1265</v>
      </c>
      <c r="C517" s="58" t="str">
        <f>IFERROR(VLOOKUP(B517 ,INVENTARIO!$B$2:C994,2,0),"")</f>
        <v>contactor con nc y no bobina 24v</v>
      </c>
      <c r="D517" s="68">
        <v>1.0</v>
      </c>
      <c r="E517" s="60"/>
      <c r="F517" s="61">
        <f t="shared" si="1"/>
        <v>45671.56554</v>
      </c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57" t="s">
        <v>1267</v>
      </c>
      <c r="C518" s="58" t="str">
        <f>IFERROR(VLOOKUP(B518 ,INVENTARIO!$B$2:C994,2,0),"")</f>
        <v>contactor con no bobina 220v</v>
      </c>
      <c r="D518" s="68">
        <v>2.0</v>
      </c>
      <c r="E518" s="60"/>
      <c r="F518" s="61">
        <f t="shared" si="1"/>
        <v>45671.56562</v>
      </c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57" t="s">
        <v>1269</v>
      </c>
      <c r="C519" s="58" t="str">
        <f>IFERROR(VLOOKUP(B519 ,INVENTARIO!$B$2:C994,2,0),"")</f>
        <v>contactor con nc y no bobina 24v</v>
      </c>
      <c r="D519" s="68">
        <v>1.0</v>
      </c>
      <c r="E519" s="60"/>
      <c r="F519" s="61">
        <f t="shared" si="1"/>
        <v>45671.56572</v>
      </c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57" t="s">
        <v>1270</v>
      </c>
      <c r="C520" s="58" t="str">
        <f>IFERROR(VLOOKUP(B520 ,INVENTARIO!$B$2:C994,2,0),"")</f>
        <v>contactor steck con no bobina 220v</v>
      </c>
      <c r="D520" s="68">
        <v>1.0</v>
      </c>
      <c r="E520" s="60"/>
      <c r="F520" s="61">
        <f t="shared" si="1"/>
        <v>45671.56586</v>
      </c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57" t="s">
        <v>1272</v>
      </c>
      <c r="C521" s="58" t="str">
        <f>IFERROR(VLOOKUP(B521 ,INVENTARIO!$B$2:C994,2,0),"")</f>
        <v>contactor BAW con no sin bobina</v>
      </c>
      <c r="D521" s="68">
        <v>1.0</v>
      </c>
      <c r="E521" s="60"/>
      <c r="F521" s="61">
        <f t="shared" si="1"/>
        <v>45671.56595</v>
      </c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57" t="s">
        <v>1274</v>
      </c>
      <c r="C522" s="58" t="str">
        <f>IFERROR(VLOOKUP(B522 ,INVENTARIO!$B$2:C994,2,0),"")</f>
        <v>contactor con bobina 24v</v>
      </c>
      <c r="D522" s="68">
        <v>0.0</v>
      </c>
      <c r="E522" s="60"/>
      <c r="F522" s="61">
        <f t="shared" si="1"/>
        <v>45671.56604</v>
      </c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57" t="s">
        <v>1275</v>
      </c>
      <c r="C523" s="58" t="str">
        <f>IFERROR(VLOOKUP(B523 ,INVENTARIO!$B$2:C994,2,0),"")</f>
        <v>c.ctor af26-30-00-13</v>
      </c>
      <c r="D523" s="65">
        <v>0.0</v>
      </c>
      <c r="E523" s="60"/>
      <c r="F523" s="61">
        <f t="shared" si="1"/>
        <v>45671.56616</v>
      </c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57" t="s">
        <v>1277</v>
      </c>
      <c r="C524" s="58" t="str">
        <f>IFERROR(VLOOKUP(B524 ,INVENTARIO!$B$2:C994,2,0),"")</f>
        <v>c.tor CL25A300t6</v>
      </c>
      <c r="D524" s="65">
        <v>0.0</v>
      </c>
      <c r="E524" s="60"/>
      <c r="F524" s="61">
        <f t="shared" si="1"/>
        <v>45671.56631</v>
      </c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57" t="s">
        <v>1704</v>
      </c>
      <c r="C525" s="58" t="str">
        <f>IFERROR(VLOOKUP(B525 ,INVENTARIO!$B$2:C994,2,0),"")</f>
        <v>Tinta Hitachi</v>
      </c>
      <c r="D525" s="65">
        <v>2.0</v>
      </c>
      <c r="E525" s="60"/>
      <c r="F525" s="61">
        <f t="shared" si="1"/>
        <v>45692.52695</v>
      </c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57" t="s">
        <v>1692</v>
      </c>
      <c r="C526" s="58" t="str">
        <f>IFERROR(VLOOKUP(B526 ,INVENTARIO!$B$2:C994,2,0),"")</f>
        <v>diluyente de tinta HITACHI</v>
      </c>
      <c r="D526" s="65">
        <v>6.0</v>
      </c>
      <c r="E526" s="60"/>
      <c r="F526" s="61">
        <f t="shared" si="1"/>
        <v>45692.52737</v>
      </c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57" t="s">
        <v>1856</v>
      </c>
      <c r="C527" s="58" t="str">
        <f>IFERROR(VLOOKUP(B527 ,INVENTARIO!$B$2:C994,2,0),"")</f>
        <v>Termocupla  temperatura mordazas env</v>
      </c>
      <c r="D527" s="65">
        <v>2.0</v>
      </c>
      <c r="E527" s="60"/>
      <c r="F527" s="61">
        <f t="shared" si="1"/>
        <v>45698.41605</v>
      </c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57" t="s">
        <v>1595</v>
      </c>
      <c r="C528" s="58">
        <f>IFERROR(VLOOKUP(B528 ,INVENTARIO!$B$2:C994,2,0),"")</f>
        <v>302295</v>
      </c>
      <c r="D528" s="65">
        <v>8.0</v>
      </c>
      <c r="E528" s="60"/>
      <c r="F528" s="61">
        <f t="shared" si="1"/>
        <v>45706.34191</v>
      </c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57" t="s">
        <v>1587</v>
      </c>
      <c r="C529" s="58" t="str">
        <f>IFERROR(VLOOKUP(B529 ,INVENTARIO!$B$2:C994,2,0),"")</f>
        <v>CORREA DENTADA 240XL Transferencia</v>
      </c>
      <c r="D529" s="65">
        <v>16.0</v>
      </c>
      <c r="E529" s="60"/>
      <c r="F529" s="61">
        <f t="shared" si="1"/>
        <v>45708.65111</v>
      </c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57" t="s">
        <v>272</v>
      </c>
      <c r="C530" s="58" t="str">
        <f>IFERROR(VLOOKUP(B530 ,INVENTARIO!$B$2:C994,2,0),"")</f>
        <v>6201LLUC3/2RS</v>
      </c>
      <c r="D530" s="65">
        <v>10.0</v>
      </c>
      <c r="E530" s="60"/>
      <c r="F530" s="61">
        <f t="shared" si="1"/>
        <v>45726.40677</v>
      </c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57" t="s">
        <v>366</v>
      </c>
      <c r="C531" s="58" t="str">
        <f>IFERROR(VLOOKUP(B531 ,INVENTARIO!$B$2:C994,2,0),"")</f>
        <v>5212SC3</v>
      </c>
      <c r="D531" s="65">
        <v>1.0</v>
      </c>
      <c r="E531" s="60"/>
      <c r="F531" s="61">
        <f t="shared" si="1"/>
        <v>45726.4073</v>
      </c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57" t="s">
        <v>278</v>
      </c>
      <c r="C532" s="58" t="str">
        <f>IFERROR(VLOOKUP(B532 ,INVENTARIO!$B$2:C994,2,0),"")</f>
        <v>6202-2RS/C3 - 15X35X11</v>
      </c>
      <c r="D532" s="65">
        <v>1.0</v>
      </c>
      <c r="E532" s="60"/>
      <c r="F532" s="61">
        <f t="shared" si="1"/>
        <v>45726.40767</v>
      </c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57" t="s">
        <v>323</v>
      </c>
      <c r="C533" s="58" t="str">
        <f>IFERROR(VLOOKUP(B533 ,INVENTARIO!$B$2:C994,2,0),"")</f>
        <v>6800LLU</v>
      </c>
      <c r="D533" s="65">
        <v>8.0</v>
      </c>
      <c r="E533" s="60"/>
      <c r="F533" s="61">
        <f t="shared" si="1"/>
        <v>45726.40939</v>
      </c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57" t="s">
        <v>278</v>
      </c>
      <c r="C534" s="58" t="str">
        <f>IFERROR(VLOOKUP(B534 ,INVENTARIO!$B$2:C994,2,0),"")</f>
        <v>6202-2RS/C3 - 15X35X11</v>
      </c>
      <c r="D534" s="65">
        <v>2.0</v>
      </c>
      <c r="E534" s="60"/>
      <c r="F534" s="61">
        <f t="shared" si="1"/>
        <v>45726.4104</v>
      </c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57" t="s">
        <v>287</v>
      </c>
      <c r="C535" s="58" t="str">
        <f>IFERROR(VLOOKUP(B535 ,INVENTARIO!$B$2:C994,2,0),"")</f>
        <v>6203 2RST/C3</v>
      </c>
      <c r="D535" s="65">
        <v>2.0</v>
      </c>
      <c r="E535" s="60"/>
      <c r="F535" s="61">
        <f t="shared" si="1"/>
        <v>45726.41078</v>
      </c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57" t="s">
        <v>292</v>
      </c>
      <c r="C536" s="58" t="str">
        <f>IFERROR(VLOOKUP(B536 ,INVENTARIO!$B$2:C994,2,0),"")</f>
        <v>6204LLUC3/EM 6204LLUC3/L627</v>
      </c>
      <c r="D536" s="65">
        <v>4.0</v>
      </c>
      <c r="E536" s="60"/>
      <c r="F536" s="61">
        <f t="shared" si="1"/>
        <v>45726.4112</v>
      </c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57" t="s">
        <v>339</v>
      </c>
      <c r="C537" s="58">
        <f>IFERROR(VLOOKUP(B537 ,INVENTARIO!$B$2:C994,2,0),"")</f>
        <v>6903</v>
      </c>
      <c r="D537" s="65">
        <v>5.0</v>
      </c>
      <c r="E537" s="60"/>
      <c r="F537" s="61">
        <f t="shared" si="1"/>
        <v>45726.41552</v>
      </c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57" t="s">
        <v>246</v>
      </c>
      <c r="C538" s="58" t="str">
        <f>IFERROR(VLOOKUP(B538 ,INVENTARIO!$B$2:C994,2,0),"")</f>
        <v/>
      </c>
      <c r="D538" s="65">
        <v>4.0</v>
      </c>
      <c r="E538" s="60"/>
      <c r="F538" s="61">
        <f t="shared" si="1"/>
        <v>45726.41636</v>
      </c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57" t="s">
        <v>248</v>
      </c>
      <c r="C539" s="58" t="str">
        <f>IFERROR(VLOOKUP(B539 ,INVENTARIO!$B$2:C994,2,0),"")</f>
        <v>6004-2RST/C3</v>
      </c>
      <c r="D539" s="65">
        <v>4.0</v>
      </c>
      <c r="E539" s="60"/>
      <c r="F539" s="61">
        <f t="shared" si="1"/>
        <v>45726.4167</v>
      </c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57" t="s">
        <v>244</v>
      </c>
      <c r="C540" s="58" t="str">
        <f>IFERROR(VLOOKUP(B540 ,INVENTARIO!$B$2:C994,2,0),"")</f>
        <v>6003 LLU/C3 - 17X35X10</v>
      </c>
      <c r="D540" s="65">
        <v>4.0</v>
      </c>
      <c r="E540" s="60"/>
      <c r="F540" s="61">
        <f t="shared" si="1"/>
        <v>45726.41745</v>
      </c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57" t="s">
        <v>306</v>
      </c>
      <c r="C541" s="58" t="str">
        <f>IFERROR(VLOOKUP(B541 ,INVENTARIO!$B$2:C994,2,0),"")</f>
        <v>6209LLUC3 6209LLUC3/2AS</v>
      </c>
      <c r="D541" s="65">
        <v>2.0</v>
      </c>
      <c r="E541" s="60"/>
      <c r="F541" s="61">
        <f t="shared" si="1"/>
        <v>45726.41796</v>
      </c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57" t="s">
        <v>314</v>
      </c>
      <c r="C542" s="58" t="str">
        <f>IFERROR(VLOOKUP(B542 ,INVENTARIO!$B$2:C994,2,0),"")</f>
        <v>6304/2RS-C3</v>
      </c>
      <c r="D542" s="65">
        <v>1.0</v>
      </c>
      <c r="E542" s="60"/>
      <c r="F542" s="61">
        <f t="shared" si="1"/>
        <v>45726.42962</v>
      </c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57" t="s">
        <v>294</v>
      </c>
      <c r="C543" s="58" t="str">
        <f>IFERROR(VLOOKUP(B543 ,INVENTARIO!$B$2:C994,2,0),"")</f>
        <v>6205-2RST/C3</v>
      </c>
      <c r="D543" s="65">
        <v>4.0</v>
      </c>
      <c r="E543" s="60"/>
      <c r="F543" s="61">
        <f t="shared" si="1"/>
        <v>45726.43251</v>
      </c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57" t="s">
        <v>110</v>
      </c>
      <c r="C544" s="58" t="str">
        <f>IFERROR(VLOOKUP(B544 ,INVENTARIO!$B$2:C994,2,0),"")</f>
        <v>UC204D1</v>
      </c>
      <c r="D544" s="65">
        <v>4.0</v>
      </c>
      <c r="E544" s="60"/>
      <c r="F544" s="61">
        <f t="shared" si="1"/>
        <v>45726.43379</v>
      </c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57" t="s">
        <v>122</v>
      </c>
      <c r="C545" s="58" t="str">
        <f>IFERROR(VLOOKUP(B545 ,INVENTARIO!$B$2:C994,2,0),"")</f>
        <v>UC205</v>
      </c>
      <c r="D545" s="65">
        <v>4.0</v>
      </c>
      <c r="E545" s="60"/>
      <c r="F545" s="61">
        <f t="shared" si="1"/>
        <v>45726.43488</v>
      </c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57" t="s">
        <v>149</v>
      </c>
      <c r="C546" s="58" t="str">
        <f>IFERROR(VLOOKUP(B546 ,INVENTARIO!$B$2:C994,2,0),"")</f>
        <v>UEL211-200</v>
      </c>
      <c r="D546" s="65">
        <v>1.0</v>
      </c>
      <c r="E546" s="60"/>
      <c r="F546" s="61">
        <f t="shared" si="1"/>
        <v>45726.43688</v>
      </c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57" t="s">
        <v>220</v>
      </c>
      <c r="C547" s="58" t="str">
        <f>IFERROR(VLOOKUP(B547 ,INVENTARIO!$B$2:C994,2,0),"")</f>
        <v>UC207</v>
      </c>
      <c r="D547" s="65">
        <v>2.0</v>
      </c>
      <c r="E547" s="60"/>
      <c r="F547" s="61">
        <f t="shared" si="1"/>
        <v>45726.43915</v>
      </c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57" t="s">
        <v>527</v>
      </c>
      <c r="C548" s="58" t="str">
        <f>IFERROR(VLOOKUP(B548 ,INVENTARIO!$B$2:C994,2,0),"")</f>
        <v>Codigo/Marca WR900 Wega </v>
      </c>
      <c r="D548" s="65">
        <v>2.0</v>
      </c>
      <c r="E548" s="60"/>
      <c r="F548" s="61">
        <f t="shared" si="1"/>
        <v>45727.49603</v>
      </c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57" t="s">
        <v>1677</v>
      </c>
      <c r="C549" s="58" t="str">
        <f>IFERROR(VLOOKUP(B549 ,INVENTARIO!$B$2:C994,2,0),"")</f>
        <v>Biocida Bardahl x 900ML</v>
      </c>
      <c r="D549" s="65">
        <v>2.0</v>
      </c>
      <c r="E549" s="60"/>
      <c r="F549" s="61">
        <f t="shared" si="1"/>
        <v>45727.50097</v>
      </c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57" t="s">
        <v>1467</v>
      </c>
      <c r="C550" s="58" t="str">
        <f>IFERROR(VLOOKUP(B550 ,INVENTARIO!$B$2:C994,2,0),"")</f>
        <v>RET-50-65-10</v>
      </c>
      <c r="D550" s="65">
        <v>2.0</v>
      </c>
      <c r="E550" s="60"/>
      <c r="F550" s="61">
        <f t="shared" si="1"/>
        <v>45727.52775</v>
      </c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57" t="s">
        <v>1351</v>
      </c>
      <c r="C551" s="58" t="str">
        <f>IFERROR(VLOOKUP(B551 ,INVENTARIO!$B$2:C994,2,0),"")</f>
        <v>DBH 15,6-25,5-7</v>
      </c>
      <c r="D551" s="65">
        <v>4.0</v>
      </c>
      <c r="E551" s="60"/>
      <c r="F551" s="61">
        <f t="shared" si="1"/>
        <v>45727.53559</v>
      </c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57" t="s">
        <v>1353</v>
      </c>
      <c r="C552" s="58" t="str">
        <f>IFERROR(VLOOKUP(B552 ,INVENTARIO!$B$2:C994,2,0),"")</f>
        <v>SAV 15,77-25,41-5</v>
      </c>
      <c r="D552" s="65">
        <v>10.0</v>
      </c>
      <c r="E552" s="60"/>
      <c r="F552" s="61">
        <f t="shared" si="1"/>
        <v>45727.53727</v>
      </c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57" t="s">
        <v>1920</v>
      </c>
      <c r="C553" s="58" t="str">
        <f>IFERROR(VLOOKUP(B553 ,INVENTARIO!$B$2:C994,2,0),"")</f>
        <v/>
      </c>
      <c r="D553" s="65">
        <v>2.0</v>
      </c>
      <c r="E553" s="60"/>
      <c r="F553" s="61">
        <f t="shared" si="1"/>
        <v>45727.53972</v>
      </c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57" t="s">
        <v>1425</v>
      </c>
      <c r="C554" s="58" t="str">
        <f>IFERROR(VLOOKUP(B554 ,INVENTARIO!$B$2:C994,2,0),"")</f>
        <v>SAV 35-72-10</v>
      </c>
      <c r="D554" s="65">
        <v>2.0</v>
      </c>
      <c r="E554" s="60"/>
      <c r="F554" s="61">
        <f t="shared" si="1"/>
        <v>45727.54455</v>
      </c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57" t="s">
        <v>1441</v>
      </c>
      <c r="C555" s="58" t="str">
        <f>IFERROR(VLOOKUP(B555 ,INVENTARIO!$B$2:C994,2,0),"")</f>
        <v>40-62-7</v>
      </c>
      <c r="D555" s="65">
        <v>2.0</v>
      </c>
      <c r="E555" s="60"/>
      <c r="F555" s="61">
        <f t="shared" si="1"/>
        <v>45727.54575</v>
      </c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57" t="s">
        <v>1921</v>
      </c>
      <c r="C556" s="58" t="str">
        <f>IFERROR(VLOOKUP(B556 ,INVENTARIO!$B$2:C994,2,0),"")</f>
        <v/>
      </c>
      <c r="D556" s="65">
        <v>2.0</v>
      </c>
      <c r="E556" s="60"/>
      <c r="F556" s="61">
        <f t="shared" si="1"/>
        <v>45727.5473</v>
      </c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57" t="s">
        <v>1389</v>
      </c>
      <c r="C557" s="58" t="str">
        <f>IFERROR(VLOOKUP(B557 ,INVENTARIO!$B$2:C994,2,0),"")</f>
        <v>SAV 25-42-8</v>
      </c>
      <c r="D557" s="65">
        <v>1.0</v>
      </c>
      <c r="E557" s="60"/>
      <c r="F557" s="61">
        <f t="shared" si="1"/>
        <v>45727.54814</v>
      </c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57" t="s">
        <v>1389</v>
      </c>
      <c r="C558" s="58" t="str">
        <f>IFERROR(VLOOKUP(B558 ,INVENTARIO!$B$2:C994,2,0),"")</f>
        <v>SAV 25-42-8</v>
      </c>
      <c r="D558" s="65">
        <v>4.0</v>
      </c>
      <c r="E558" s="60"/>
      <c r="F558" s="61">
        <f t="shared" si="1"/>
        <v>45727.54864</v>
      </c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57" t="s">
        <v>1373</v>
      </c>
      <c r="C559" s="58" t="str">
        <f>IFERROR(VLOOKUP(B559 ,INVENTARIO!$B$2:C994,2,0),"")</f>
        <v>25-37-7</v>
      </c>
      <c r="D559" s="65">
        <v>4.0</v>
      </c>
      <c r="E559" s="60"/>
      <c r="F559" s="61">
        <f t="shared" si="1"/>
        <v>45727.56087</v>
      </c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57" t="s">
        <v>1922</v>
      </c>
      <c r="C560" s="58" t="str">
        <f>IFERROR(VLOOKUP(B560 ,INVENTARIO!$B$2:C994,2,0),"")</f>
        <v/>
      </c>
      <c r="D560" s="65">
        <v>1.0</v>
      </c>
      <c r="E560" s="60"/>
      <c r="F560" s="61">
        <f t="shared" si="1"/>
        <v>45727.56267</v>
      </c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57" t="s">
        <v>1385</v>
      </c>
      <c r="C561" s="58" t="str">
        <f>IFERROR(VLOOKUP(B561 ,INVENTARIO!$B$2:C994,2,0),"")</f>
        <v>SAV 25,4-41,25-6,35</v>
      </c>
      <c r="D561" s="62">
        <v>1.0</v>
      </c>
      <c r="E561" s="60"/>
      <c r="F561" s="61">
        <f t="shared" si="1"/>
        <v>45727.56759</v>
      </c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57" t="s">
        <v>1486</v>
      </c>
      <c r="C562" s="58" t="str">
        <f>IFERROR(VLOOKUP(B562 ,INVENTARIO!$B$2:C994,2,0),"")</f>
        <v>SAV 55-90-13</v>
      </c>
      <c r="D562" s="62">
        <v>2.0</v>
      </c>
      <c r="E562" s="60"/>
      <c r="F562" s="61">
        <f t="shared" si="1"/>
        <v>45727.56895</v>
      </c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57" t="s">
        <v>1525</v>
      </c>
      <c r="C563" s="58" t="str">
        <f>IFERROR(VLOOKUP(B563 ,INVENTARIO!$B$2:C994,2,0),"")</f>
        <v>SAV 70-90-10</v>
      </c>
      <c r="D563" s="62">
        <v>2.0</v>
      </c>
      <c r="E563" s="60"/>
      <c r="F563" s="61">
        <f t="shared" si="1"/>
        <v>45727.57048</v>
      </c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57" t="s">
        <v>253</v>
      </c>
      <c r="C564" s="58" t="str">
        <f>IFERROR(VLOOKUP(B564 ,INVENTARIO!$B$2:C994,2,0),"")</f>
        <v>6005LLUC3/ 6005LLUC3/2AS</v>
      </c>
      <c r="D564" s="62">
        <v>5.0</v>
      </c>
      <c r="E564" s="60"/>
      <c r="F564" s="61">
        <f t="shared" si="1"/>
        <v>45731.37889</v>
      </c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57" t="s">
        <v>1683</v>
      </c>
      <c r="C565" s="58" t="str">
        <f>IFERROR(VLOOKUP(B565 ,INVENTARIO!$B$2:C994,2,0),"")</f>
        <v>Grafito en polvo Marca LUBOKS</v>
      </c>
      <c r="D565" s="62">
        <v>20.0</v>
      </c>
      <c r="E565" s="60"/>
      <c r="F565" s="61">
        <f t="shared" si="1"/>
        <v>45731.38131</v>
      </c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57" t="s">
        <v>318</v>
      </c>
      <c r="C566" s="58" t="str">
        <f>IFERROR(VLOOKUP(B566 ,INVENTARIO!$B$2:C994,2,0),"")</f>
        <v>6307 2RS</v>
      </c>
      <c r="D566" s="62">
        <v>4.0</v>
      </c>
      <c r="E566" s="60"/>
      <c r="F566" s="61">
        <f t="shared" si="1"/>
        <v>45734.44735</v>
      </c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57" t="s">
        <v>316</v>
      </c>
      <c r="C567" s="58" t="str">
        <f>IFERROR(VLOOKUP(B567 ,INVENTARIO!$B$2:C994,2,0),"")</f>
        <v>Rod.Rodillos  piñon compensadores</v>
      </c>
      <c r="D567" s="62">
        <v>12.0</v>
      </c>
      <c r="E567" s="60"/>
      <c r="F567" s="61">
        <f t="shared" si="1"/>
        <v>45736.42412</v>
      </c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57" t="s">
        <v>1923</v>
      </c>
      <c r="C568" s="58" t="str">
        <f>IFERROR(VLOOKUP(B568 ,INVENTARIO!$B$2:C994,2,0),"")</f>
        <v/>
      </c>
      <c r="D568" s="62">
        <v>6.0</v>
      </c>
      <c r="E568" s="60"/>
      <c r="F568" s="61">
        <f t="shared" si="1"/>
        <v>45743.49407</v>
      </c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57" t="s">
        <v>1692</v>
      </c>
      <c r="C569" s="58" t="str">
        <f>IFERROR(VLOOKUP(B569 ,INVENTARIO!$B$2:C994,2,0),"")</f>
        <v>diluyente de tinta HITACHI</v>
      </c>
      <c r="D569" s="62">
        <v>6.0</v>
      </c>
      <c r="E569" s="60"/>
      <c r="F569" s="61">
        <f t="shared" si="1"/>
        <v>45748.38107</v>
      </c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57" t="s">
        <v>1689</v>
      </c>
      <c r="C570" s="58" t="str">
        <f>IFERROR(VLOOKUP(B570 ,INVENTARIO!$B$2:C994,2,0),"")</f>
        <v>diluyente de tinta IMAJE</v>
      </c>
      <c r="D570" s="62">
        <v>6.0</v>
      </c>
      <c r="E570" s="60"/>
      <c r="F570" s="61">
        <f t="shared" si="1"/>
        <v>45748.38169</v>
      </c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57" t="s">
        <v>122</v>
      </c>
      <c r="C571" s="58" t="str">
        <f>IFERROR(VLOOKUP(B571 ,INVENTARIO!$B$2:C994,2,0),"")</f>
        <v>UC205</v>
      </c>
      <c r="D571" s="62">
        <v>5.0</v>
      </c>
      <c r="E571" s="60"/>
      <c r="F571" s="61">
        <f t="shared" si="1"/>
        <v>45751.51129</v>
      </c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57" t="s">
        <v>110</v>
      </c>
      <c r="C572" s="58" t="str">
        <f>IFERROR(VLOOKUP(B572 ,INVENTARIO!$B$2:C994,2,0),"")</f>
        <v>UC204D1</v>
      </c>
      <c r="D572" s="62">
        <v>5.0</v>
      </c>
      <c r="E572" s="60"/>
      <c r="F572" s="61">
        <f t="shared" si="1"/>
        <v>45751.51167</v>
      </c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57" t="s">
        <v>246</v>
      </c>
      <c r="C573" s="58" t="str">
        <f>IFERROR(VLOOKUP(B573 ,INVENTARIO!$B$2:C994,2,0),"")</f>
        <v/>
      </c>
      <c r="D573" s="62">
        <v>5.0</v>
      </c>
      <c r="E573" s="60"/>
      <c r="F573" s="61">
        <f t="shared" si="1"/>
        <v>45751.51201</v>
      </c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57" t="s">
        <v>1924</v>
      </c>
      <c r="C574" s="58" t="str">
        <f>IFERROR(VLOOKUP(B574 ,INVENTARIO!$B$2:C994,2,0),"")</f>
        <v/>
      </c>
      <c r="D574" s="62">
        <v>12.0</v>
      </c>
      <c r="E574" s="60"/>
      <c r="F574" s="61">
        <f t="shared" si="1"/>
        <v>45751.52066</v>
      </c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57" t="s">
        <v>1361</v>
      </c>
      <c r="C575" s="58"/>
      <c r="D575" s="62">
        <v>0.0</v>
      </c>
      <c r="E575" s="60"/>
      <c r="F575" s="61">
        <f t="shared" si="1"/>
        <v>45751.52649</v>
      </c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57" t="s">
        <v>233</v>
      </c>
      <c r="C576" s="58" t="str">
        <f>IFERROR(VLOOKUP(B576 ,INVENTARIO!$B$2:C994,2,0),"")</f>
        <v>R8LLUC3 </v>
      </c>
      <c r="D576" s="62">
        <v>5.0</v>
      </c>
      <c r="E576" s="60"/>
      <c r="F576" s="61">
        <f t="shared" si="1"/>
        <v>45754.41889</v>
      </c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57" t="s">
        <v>1306</v>
      </c>
      <c r="C577" s="58" t="str">
        <f>IFERROR(VLOOKUP(B577 ,INVENTARIO!$B$2:C994,2,0),"")</f>
        <v>contactos normal abierto /STECK</v>
      </c>
      <c r="D577" s="62">
        <v>27.0</v>
      </c>
      <c r="E577" s="60"/>
      <c r="F577" s="61">
        <f t="shared" si="1"/>
        <v>45757.60003</v>
      </c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57" t="s">
        <v>1304</v>
      </c>
      <c r="C578" s="58" t="str">
        <f>IFERROR(VLOOKUP(B578 ,INVENTARIO!$B$2:C994,2,0),"")</f>
        <v>contactos normal cerrado /STECK</v>
      </c>
      <c r="D578" s="62">
        <v>22.0</v>
      </c>
      <c r="E578" s="60"/>
      <c r="F578" s="61">
        <f t="shared" si="1"/>
        <v>45757.60052</v>
      </c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57" t="s">
        <v>649</v>
      </c>
      <c r="C579" s="58" t="str">
        <f>IFERROR(VLOOKUP(B579 ,INVENTARIO!$B$2:C994,2,0),"")</f>
        <v>340X4080mm</v>
      </c>
      <c r="D579" s="62">
        <v>1.0</v>
      </c>
      <c r="E579" s="60"/>
      <c r="F579" s="61">
        <f t="shared" si="1"/>
        <v>45776.38386</v>
      </c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57" t="s">
        <v>652</v>
      </c>
      <c r="C580" s="58" t="str">
        <f>IFERROR(VLOOKUP(B580 ,INVENTARIO!$B$2:C994,2,0),"")</f>
        <v>340x7430mm</v>
      </c>
      <c r="D580" s="62">
        <v>2.0</v>
      </c>
      <c r="E580" s="60"/>
      <c r="F580" s="61">
        <f t="shared" si="1"/>
        <v>45776.38407</v>
      </c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57" t="s">
        <v>654</v>
      </c>
      <c r="C581" s="58" t="str">
        <f>IFERROR(VLOOKUP(B581 ,INVENTARIO!$B$2:C994,2,0),"")</f>
        <v>340x4750mm</v>
      </c>
      <c r="D581" s="62">
        <v>1.0</v>
      </c>
      <c r="E581" s="60"/>
      <c r="F581" s="61">
        <f t="shared" si="1"/>
        <v>45776.38421</v>
      </c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57" t="s">
        <v>656</v>
      </c>
      <c r="C582" s="58" t="str">
        <f>IFERROR(VLOOKUP(B582 ,INVENTARIO!$B$2:C994,2,0),"")</f>
        <v>340x4250mm</v>
      </c>
      <c r="D582" s="62">
        <v>1.0</v>
      </c>
      <c r="E582" s="60"/>
      <c r="F582" s="61">
        <f t="shared" si="1"/>
        <v>45776.38435</v>
      </c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57" t="s">
        <v>1692</v>
      </c>
      <c r="C583" s="58" t="str">
        <f>IFERROR(VLOOKUP(B583 ,INVENTARIO!$B$2:C994,2,0),"")</f>
        <v>diluyente de tinta HITACHI</v>
      </c>
      <c r="D583" s="62">
        <v>1.0</v>
      </c>
      <c r="E583" s="60"/>
      <c r="F583" s="61">
        <f t="shared" si="1"/>
        <v>45787.39539</v>
      </c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57" t="s">
        <v>1689</v>
      </c>
      <c r="C584" s="58" t="str">
        <f>IFERROR(VLOOKUP(B584 ,INVENTARIO!$B$2:C994,2,0),"")</f>
        <v>diluyente de tinta IMAJE</v>
      </c>
      <c r="D584" s="62">
        <v>12.0</v>
      </c>
      <c r="E584" s="60"/>
      <c r="F584" s="61">
        <f t="shared" si="1"/>
        <v>45787.4</v>
      </c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57" t="s">
        <v>1925</v>
      </c>
      <c r="C585" s="58" t="str">
        <f>IFERROR(VLOOKUP(B585 ,INVENTARIO!$B$2:C994,2,0),"")</f>
        <v/>
      </c>
      <c r="D585" s="62">
        <v>6.0</v>
      </c>
      <c r="E585" s="60"/>
      <c r="F585" s="61">
        <f t="shared" si="1"/>
        <v>45787.40023</v>
      </c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57" t="s">
        <v>1701</v>
      </c>
      <c r="C586" s="58" t="str">
        <f>IFERROR(VLOOKUP(B586 ,INVENTARIO!$B$2:C994,2,0),"")</f>
        <v>Tinta IMAJE</v>
      </c>
      <c r="D586" s="62">
        <v>1.0</v>
      </c>
      <c r="E586" s="60"/>
      <c r="F586" s="61">
        <f t="shared" si="1"/>
        <v>45787.40229</v>
      </c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57" t="s">
        <v>1704</v>
      </c>
      <c r="C587" s="58" t="str">
        <f>IFERROR(VLOOKUP(B587 ,INVENTARIO!$B$2:C994,2,0),"")</f>
        <v>Tinta Hitachi</v>
      </c>
      <c r="D587" s="62">
        <v>1.0</v>
      </c>
      <c r="E587" s="60"/>
      <c r="F587" s="61">
        <f t="shared" si="1"/>
        <v>45787.40247</v>
      </c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57" t="s">
        <v>1926</v>
      </c>
      <c r="C588" s="58" t="str">
        <f>IFERROR(VLOOKUP(B588 ,INVENTARIO!$B$2:C994,2,0),"")</f>
        <v/>
      </c>
      <c r="D588" s="62">
        <v>2.0</v>
      </c>
      <c r="E588" s="60"/>
      <c r="F588" s="61">
        <f t="shared" si="1"/>
        <v>45794.5318</v>
      </c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57" t="s">
        <v>1925</v>
      </c>
      <c r="C589" s="58" t="str">
        <f>IFERROR(VLOOKUP(B589 ,INVENTARIO!$B$2:C994,2,0),"")</f>
        <v/>
      </c>
      <c r="D589" s="62"/>
      <c r="E589" s="60"/>
      <c r="F589" s="61">
        <f t="shared" si="1"/>
        <v>45797.3669</v>
      </c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57" t="s">
        <v>1927</v>
      </c>
      <c r="C590" s="58" t="str">
        <f>IFERROR(VLOOKUP(B590 ,INVENTARIO!$B$2:C994,2,0),"")</f>
        <v/>
      </c>
      <c r="D590" s="62">
        <v>4.0</v>
      </c>
      <c r="E590" s="60"/>
      <c r="F590" s="61">
        <f t="shared" si="1"/>
        <v>45799.41999</v>
      </c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57" t="s">
        <v>27</v>
      </c>
      <c r="C591" s="58" t="str">
        <f>IFERROR(VLOOKUP(B591 ,INVENTARIO!$B$2:C994,2,0),"")</f>
        <v>cadena ASA 80 doble</v>
      </c>
      <c r="D591" s="62">
        <v>9.0</v>
      </c>
      <c r="E591" s="60"/>
      <c r="F591" s="61">
        <f t="shared" si="1"/>
        <v>45799.42423</v>
      </c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57" t="s">
        <v>298</v>
      </c>
      <c r="C592" s="58" t="str">
        <f>IFERROR(VLOOKUP(B592 ,INVENTARIO!$B$2:C994,2,0),"")</f>
        <v>6206LLUC3 6206 LLUC3/2AS</v>
      </c>
      <c r="D592" s="62"/>
      <c r="E592" s="60"/>
      <c r="F592" s="61">
        <f t="shared" si="1"/>
        <v>45811.45012</v>
      </c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57" t="s">
        <v>1562</v>
      </c>
      <c r="C593" s="58" t="str">
        <f>IFERROR(VLOOKUP(B593 ,INVENTARIO!$B$2:C994,2,0),"")</f>
        <v>Correas B-36</v>
      </c>
      <c r="D593" s="62">
        <v>2.0</v>
      </c>
      <c r="E593" s="60"/>
      <c r="F593" s="61">
        <f t="shared" si="1"/>
        <v>45831.51643</v>
      </c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57" t="s">
        <v>1571</v>
      </c>
      <c r="C594" s="58" t="str">
        <f>IFERROR(VLOOKUP(B594 ,INVENTARIO!$B$2:C994,2,0),"")</f>
        <v>Correas B-45</v>
      </c>
      <c r="D594" s="62">
        <v>4.0</v>
      </c>
      <c r="E594" s="60"/>
      <c r="F594" s="61">
        <f t="shared" si="1"/>
        <v>45831.51679</v>
      </c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57" t="s">
        <v>164</v>
      </c>
      <c r="C595" s="58" t="str">
        <f>IFERROR(VLOOKUP(B595 ,INVENTARIO!$B$2:C994,2,0),"")</f>
        <v>1209K C3</v>
      </c>
      <c r="D595" s="62">
        <v>2.0</v>
      </c>
      <c r="E595" s="60"/>
      <c r="F595" s="61">
        <f t="shared" si="1"/>
        <v>45831.51693</v>
      </c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57" t="s">
        <v>312</v>
      </c>
      <c r="C596" s="58" t="str">
        <f>IFERROR(VLOOKUP(B596 ,INVENTARIO!$B$2:C994,2,0),"")</f>
        <v>6302 2RSR/C3.J22C</v>
      </c>
      <c r="D596" s="62">
        <v>4.0</v>
      </c>
      <c r="E596" s="60"/>
      <c r="F596" s="61">
        <f t="shared" si="1"/>
        <v>45831.51718</v>
      </c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57" t="s">
        <v>1692</v>
      </c>
      <c r="C597" s="58" t="str">
        <f>IFERROR(VLOOKUP(B597 ,INVENTARIO!$B$2:C994,2,0),"")</f>
        <v>diluyente de tinta HITACHI</v>
      </c>
      <c r="D597" s="62">
        <v>6.0</v>
      </c>
      <c r="E597" s="60"/>
      <c r="F597" s="61">
        <f t="shared" si="1"/>
        <v>45832.44495</v>
      </c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57" t="s">
        <v>1928</v>
      </c>
      <c r="C598" s="58" t="str">
        <f>IFERROR(VLOOKUP(B598 ,INVENTARIO!$B$2:C994,2,0),"")</f>
        <v>Sensor M8 inductivo rasante 1mm deteccion</v>
      </c>
      <c r="D598" s="62"/>
      <c r="E598" s="60"/>
      <c r="F598" s="61">
        <f t="shared" si="1"/>
        <v>45832.63086</v>
      </c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57" t="s">
        <v>278</v>
      </c>
      <c r="C599" s="58" t="str">
        <f>IFERROR(VLOOKUP(B599 ,INVENTARIO!$B$2:C994,2,0),"")</f>
        <v>6202-2RS/C3 - 15X35X11</v>
      </c>
      <c r="D599" s="62">
        <v>4.0</v>
      </c>
      <c r="E599" s="60"/>
      <c r="F599" s="61">
        <f t="shared" si="1"/>
        <v>45833.67832</v>
      </c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57" t="s">
        <v>164</v>
      </c>
      <c r="C600" s="58" t="str">
        <f>IFERROR(VLOOKUP(B600 ,INVENTARIO!$B$2:C994,2,0),"")</f>
        <v>1209K C3</v>
      </c>
      <c r="D600" s="62">
        <v>1.0</v>
      </c>
      <c r="E600" s="60"/>
      <c r="F600" s="61">
        <f t="shared" si="1"/>
        <v>45833.67854</v>
      </c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57" t="s">
        <v>158</v>
      </c>
      <c r="C601" s="58" t="str">
        <f>IFERROR(VLOOKUP(B601 ,INVENTARIO!$B$2:C994,2,0),"")</f>
        <v>H309</v>
      </c>
      <c r="D601" s="62"/>
      <c r="E601" s="60"/>
      <c r="F601" s="61">
        <f t="shared" si="1"/>
        <v>45833.67871</v>
      </c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57" t="s">
        <v>122</v>
      </c>
      <c r="C602" s="58" t="str">
        <f>IFERROR(VLOOKUP(B602 ,INVENTARIO!$B$2:C994,2,0),"")</f>
        <v>UC205</v>
      </c>
      <c r="D602" s="62">
        <v>4.0</v>
      </c>
      <c r="E602" s="60"/>
      <c r="F602" s="61">
        <f t="shared" si="1"/>
        <v>45842.64047</v>
      </c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57" t="s">
        <v>97</v>
      </c>
      <c r="C603" s="58" t="str">
        <f>IFERROR(VLOOKUP(B603 ,INVENTARIO!$B$2:C994,2,0),"")</f>
        <v>UC206-EJE 30</v>
      </c>
      <c r="D603" s="62">
        <v>2.0</v>
      </c>
      <c r="E603" s="60"/>
      <c r="F603" s="61">
        <f t="shared" si="1"/>
        <v>45842.6407</v>
      </c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57" t="s">
        <v>108</v>
      </c>
      <c r="C604" s="58" t="str">
        <f>IFERROR(VLOOKUP(B604 ,INVENTARIO!$B$2:C994,2,0),"")</f>
        <v>UC204</v>
      </c>
      <c r="D604" s="62">
        <v>4.0</v>
      </c>
      <c r="E604" s="60"/>
      <c r="F604" s="61">
        <f t="shared" si="1"/>
        <v>45842.64092</v>
      </c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57" t="s">
        <v>1375</v>
      </c>
      <c r="C605" s="58" t="str">
        <f>IFERROR(VLOOKUP(B605 ,INVENTARIO!$B$2:C994,2,0),"")</f>
        <v>SAV 17-30-7</v>
      </c>
      <c r="D605" s="62">
        <v>10.0</v>
      </c>
      <c r="E605" s="60"/>
      <c r="F605" s="61">
        <f t="shared" si="1"/>
        <v>45846.36585</v>
      </c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57" t="s">
        <v>339</v>
      </c>
      <c r="C606" s="58">
        <f>IFERROR(VLOOKUP(B606 ,INVENTARIO!$B$2:C994,2,0),"")</f>
        <v>6903</v>
      </c>
      <c r="D606" s="62">
        <v>6.0</v>
      </c>
      <c r="E606" s="60"/>
      <c r="F606" s="61">
        <f t="shared" si="1"/>
        <v>45850.48339</v>
      </c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57" t="s">
        <v>323</v>
      </c>
      <c r="C607" s="58" t="str">
        <f>IFERROR(VLOOKUP(B607 ,INVENTARIO!$B$2:C994,2,0),"")</f>
        <v>6800LLU</v>
      </c>
      <c r="D607" s="62">
        <v>10.0</v>
      </c>
      <c r="E607" s="60"/>
      <c r="F607" s="61">
        <f t="shared" si="1"/>
        <v>45850.48422</v>
      </c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57" t="s">
        <v>257</v>
      </c>
      <c r="C608" s="58" t="str">
        <f>IFERROR(VLOOKUP(B608 ,INVENTARIO!$B$2:C994,2,0),"")</f>
        <v>6007LLUC3 6007LLUC3/2AS</v>
      </c>
      <c r="D608" s="62">
        <v>7.0</v>
      </c>
      <c r="E608" s="60"/>
      <c r="F608" s="61">
        <f t="shared" si="1"/>
        <v>45860.45398</v>
      </c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57" t="s">
        <v>255</v>
      </c>
      <c r="C609" s="58" t="str">
        <f>IFERROR(VLOOKUP(B609 ,INVENTARIO!$B$2:C994,2,0),"")</f>
        <v>6006-2RSC/3</v>
      </c>
      <c r="D609" s="62">
        <v>4.0</v>
      </c>
      <c r="E609" s="60"/>
      <c r="F609" s="61">
        <f t="shared" si="1"/>
        <v>45860.45414</v>
      </c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57" t="s">
        <v>323</v>
      </c>
      <c r="C610" s="58" t="str">
        <f>IFERROR(VLOOKUP(B610 ,INVENTARIO!$B$2:C994,2,0),"")</f>
        <v>6800LLU</v>
      </c>
      <c r="D610" s="62">
        <v>15.0</v>
      </c>
      <c r="E610" s="60"/>
      <c r="F610" s="61">
        <f t="shared" si="1"/>
        <v>45863.51101</v>
      </c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57" t="s">
        <v>108</v>
      </c>
      <c r="C611" s="58" t="str">
        <f>IFERROR(VLOOKUP(B611 ,INVENTARIO!$B$2:C994,2,0),"")</f>
        <v>UC204</v>
      </c>
      <c r="D611" s="62">
        <v>6.0</v>
      </c>
      <c r="E611" s="60"/>
      <c r="F611" s="61">
        <f t="shared" si="1"/>
        <v>45868.93632</v>
      </c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57" t="s">
        <v>1884</v>
      </c>
      <c r="C612" s="58" t="str">
        <f>IFERROR(VLOOKUP(B612 ,INVENTARIO!$B$2:C994,2,0),"")</f>
        <v/>
      </c>
      <c r="D612" s="62">
        <v>9.0</v>
      </c>
      <c r="E612" s="60"/>
      <c r="F612" s="61">
        <f t="shared" si="1"/>
        <v>45875.5935</v>
      </c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57" t="s">
        <v>1306</v>
      </c>
      <c r="C613" s="58" t="str">
        <f>IFERROR(VLOOKUP(B613 ,INVENTARIO!$B$2:C994,2,0),"")</f>
        <v>contactos normal abierto /STECK</v>
      </c>
      <c r="D613" s="62">
        <v>15.0</v>
      </c>
      <c r="E613" s="60"/>
      <c r="F613" s="61">
        <f t="shared" si="1"/>
        <v>45876.66073</v>
      </c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57" t="s">
        <v>122</v>
      </c>
      <c r="C614" s="58" t="str">
        <f>IFERROR(VLOOKUP(B614 ,INVENTARIO!$B$2:C994,2,0),"")</f>
        <v>UC205</v>
      </c>
      <c r="D614" s="62">
        <v>6.0</v>
      </c>
      <c r="E614" s="60"/>
      <c r="F614" s="61">
        <f t="shared" si="1"/>
        <v>45884.66792</v>
      </c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57" t="s">
        <v>108</v>
      </c>
      <c r="C615" s="58" t="str">
        <f>IFERROR(VLOOKUP(B615 ,INVENTARIO!$B$2:C994,2,0),"")</f>
        <v>UC204</v>
      </c>
      <c r="D615" s="62">
        <v>2.0</v>
      </c>
      <c r="E615" s="60"/>
      <c r="F615" s="61">
        <f t="shared" si="1"/>
        <v>45884.6681</v>
      </c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57" t="s">
        <v>287</v>
      </c>
      <c r="C616" s="58" t="str">
        <f>IFERROR(VLOOKUP(B616 ,INVENTARIO!$B$2:C994,2,0),"")</f>
        <v>6203 2RST/C3</v>
      </c>
      <c r="D616" s="62">
        <v>4.0</v>
      </c>
      <c r="E616" s="60"/>
      <c r="F616" s="61">
        <f t="shared" si="1"/>
        <v>45884.66849</v>
      </c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57" t="s">
        <v>253</v>
      </c>
      <c r="C617" s="58" t="str">
        <f>IFERROR(VLOOKUP(B617 ,INVENTARIO!$B$2:C994,2,0),"")</f>
        <v>6005LLUC3/ 6005LLUC3/2AS</v>
      </c>
      <c r="D617" s="62">
        <v>4.0</v>
      </c>
      <c r="E617" s="60"/>
      <c r="F617" s="61">
        <f t="shared" si="1"/>
        <v>45884.66868</v>
      </c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57" t="s">
        <v>1929</v>
      </c>
      <c r="C618" s="58" t="str">
        <f>IFERROR(VLOOKUP(B618 ,INVENTARIO!$B$2:C994,2,0),"")</f>
        <v/>
      </c>
      <c r="D618" s="62">
        <v>15.0</v>
      </c>
      <c r="E618" s="60"/>
      <c r="F618" s="61">
        <f t="shared" si="1"/>
        <v>45884.67033</v>
      </c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57" t="s">
        <v>1930</v>
      </c>
      <c r="C619" s="58" t="str">
        <f>IFERROR(VLOOKUP(B619 ,INVENTARIO!$B$2:C994,2,0),"")</f>
        <v/>
      </c>
      <c r="D619" s="62">
        <v>2.0</v>
      </c>
      <c r="E619" s="60"/>
      <c r="F619" s="61">
        <f t="shared" si="1"/>
        <v>45892.50563</v>
      </c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57" t="s">
        <v>191</v>
      </c>
      <c r="C620" s="58" t="str">
        <f>IFERROR(VLOOKUP(B620 ,INVENTARIO!$B$2:C994,2,0),"")</f>
        <v>1604DCTNTG18</v>
      </c>
      <c r="D620" s="62">
        <v>4.0</v>
      </c>
      <c r="E620" s="60"/>
      <c r="F620" s="61">
        <f t="shared" si="1"/>
        <v>45899.4479</v>
      </c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57" t="s">
        <v>122</v>
      </c>
      <c r="C621" s="58" t="str">
        <f>IFERROR(VLOOKUP(B621 ,INVENTARIO!$B$2:C994,2,0),"")</f>
        <v>UC205</v>
      </c>
      <c r="D621" s="62">
        <v>6.0</v>
      </c>
      <c r="E621" s="60"/>
      <c r="F621" s="61">
        <f t="shared" si="1"/>
        <v>45899.44879</v>
      </c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57" t="s">
        <v>108</v>
      </c>
      <c r="C622" s="58" t="str">
        <f>IFERROR(VLOOKUP(B622 ,INVENTARIO!$B$2:C994,2,0),"")</f>
        <v>UC204</v>
      </c>
      <c r="D622" s="62">
        <v>4.0</v>
      </c>
      <c r="E622" s="60"/>
      <c r="F622" s="61">
        <f t="shared" si="1"/>
        <v>45899.44933</v>
      </c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57" t="s">
        <v>193</v>
      </c>
      <c r="C623" s="58" t="str">
        <f>IFERROR(VLOOKUP(B623 ,INVENTARIO!$B$2:C994,2,0),"")</f>
        <v>1621DCTNTG18</v>
      </c>
      <c r="D623" s="62">
        <v>4.0</v>
      </c>
      <c r="E623" s="60"/>
      <c r="F623" s="61">
        <f t="shared" si="1"/>
        <v>45899.45164</v>
      </c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57" t="s">
        <v>278</v>
      </c>
      <c r="C624" s="58" t="str">
        <f>IFERROR(VLOOKUP(B624 ,INVENTARIO!$B$2:C994,2,0),"")</f>
        <v>6202-2RS/C3 - 15X35X11</v>
      </c>
      <c r="D624" s="62">
        <v>4.0</v>
      </c>
      <c r="E624" s="60"/>
      <c r="F624" s="61">
        <f t="shared" si="1"/>
        <v>45899.45239</v>
      </c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57" t="s">
        <v>278</v>
      </c>
      <c r="C625" s="58" t="str">
        <f>IFERROR(VLOOKUP(B625 ,INVENTARIO!$B$2:C994,2,0),"")</f>
        <v>6202-2RS/C3 - 15X35X11</v>
      </c>
      <c r="D625" s="62">
        <v>6.0</v>
      </c>
      <c r="E625" s="60"/>
      <c r="F625" s="61">
        <f t="shared" si="1"/>
        <v>45906.51748</v>
      </c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57" t="s">
        <v>67</v>
      </c>
      <c r="C626" s="58" t="str">
        <f>IFERROR(VLOOKUP(B626 ,INVENTARIO!$B$2:C994,2,0),"")</f>
        <v>Cadena ASA 120 Doble</v>
      </c>
      <c r="D626" s="62">
        <v>1.0</v>
      </c>
      <c r="E626" s="60" t="s">
        <v>1931</v>
      </c>
      <c r="F626" s="61">
        <f t="shared" si="1"/>
        <v>45910.45598</v>
      </c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57" t="s">
        <v>70</v>
      </c>
      <c r="C627" s="58" t="str">
        <f>IFERROR(VLOOKUP(B627 ,INVENTARIO!$B$2:C994,2,0),"")</f>
        <v> Medio Eslabon Cadena ASA 120 Doble</v>
      </c>
      <c r="D627" s="62">
        <v>2.0</v>
      </c>
      <c r="E627" s="60"/>
      <c r="F627" s="61">
        <f t="shared" si="1"/>
        <v>45910.45631</v>
      </c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57" t="s">
        <v>72</v>
      </c>
      <c r="C628" s="58" t="str">
        <f>IFERROR(VLOOKUP(B628 ,INVENTARIO!$B$2:C994,2,0),"")</f>
        <v>Union Cadena ASA 120 doble</v>
      </c>
      <c r="D628" s="62">
        <v>1.0</v>
      </c>
      <c r="E628" s="60"/>
      <c r="F628" s="61">
        <f t="shared" si="1"/>
        <v>45910.45657</v>
      </c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57" t="s">
        <v>198</v>
      </c>
      <c r="C629" s="58">
        <f>IFERROR(VLOOKUP(B629 ,INVENTARIO!$B$2:C994,2,0),"")</f>
        <v>1623</v>
      </c>
      <c r="D629" s="62">
        <v>4.0</v>
      </c>
      <c r="E629" s="60"/>
      <c r="F629" s="61">
        <f t="shared" si="1"/>
        <v>45912.54181</v>
      </c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57" t="s">
        <v>195</v>
      </c>
      <c r="C630" s="58" t="str">
        <f>IFERROR(VLOOKUP(B630 ,INVENTARIO!$B$2:C994,2,0),"")</f>
        <v>1630 LLUU</v>
      </c>
      <c r="D630" s="62">
        <v>4.0</v>
      </c>
      <c r="E630" s="60"/>
      <c r="F630" s="61">
        <f t="shared" si="1"/>
        <v>45912.54215</v>
      </c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57" t="s">
        <v>1692</v>
      </c>
      <c r="C631" s="58" t="str">
        <f>IFERROR(VLOOKUP(B631 ,INVENTARIO!$B$2:C994,2,0),"")</f>
        <v>diluyente de tinta HITACHI</v>
      </c>
      <c r="D631" s="62">
        <v>6.0</v>
      </c>
      <c r="E631" s="60"/>
      <c r="F631" s="61">
        <f t="shared" si="1"/>
        <v>45913.52209</v>
      </c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57" t="s">
        <v>1704</v>
      </c>
      <c r="C632" s="58" t="str">
        <f>IFERROR(VLOOKUP(B632 ,INVENTARIO!$B$2:C994,2,0),"")</f>
        <v>Tinta Hitachi</v>
      </c>
      <c r="D632" s="62">
        <v>2.0</v>
      </c>
      <c r="E632" s="60"/>
      <c r="F632" s="61">
        <f t="shared" si="1"/>
        <v>45913.52225</v>
      </c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57" t="s">
        <v>1178</v>
      </c>
      <c r="C633" s="58" t="str">
        <f>IFERROR(VLOOKUP(B633 ,INVENTARIO!$B$2:C994,2,0),"")</f>
        <v>Difusor Gas Ustor completo con electrodos</v>
      </c>
      <c r="D633" s="62">
        <v>1.0</v>
      </c>
      <c r="E633" s="60"/>
      <c r="F633" s="61">
        <f t="shared" si="1"/>
        <v>45913.52242</v>
      </c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57" t="s">
        <v>1925</v>
      </c>
      <c r="C634" s="58" t="str">
        <f>IFERROR(VLOOKUP(B634 ,INVENTARIO!$B$2:C994,2,0),"")</f>
        <v/>
      </c>
      <c r="D634" s="62">
        <v>30.0</v>
      </c>
      <c r="E634" s="60"/>
      <c r="F634" s="61">
        <f t="shared" si="1"/>
        <v>45913.63785</v>
      </c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57" t="s">
        <v>1347</v>
      </c>
      <c r="C635" s="58" t="str">
        <f>IFERROR(VLOOKUP(B635 ,INVENTARIO!$B$2:C994,2,0),"")</f>
        <v>RETEN 15-24-5 BRUCE</v>
      </c>
      <c r="D635" s="62">
        <v>6.0</v>
      </c>
      <c r="E635" s="60"/>
      <c r="F635" s="61">
        <f t="shared" si="1"/>
        <v>45918.57485</v>
      </c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57" t="s">
        <v>108</v>
      </c>
      <c r="C636" s="58" t="str">
        <f>IFERROR(VLOOKUP(B636 ,INVENTARIO!$B$2:C994,2,0),"")</f>
        <v>UC204</v>
      </c>
      <c r="D636" s="62">
        <v>2.0</v>
      </c>
      <c r="E636" s="60"/>
      <c r="F636" s="61">
        <f t="shared" si="1"/>
        <v>45918.57514</v>
      </c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57" t="s">
        <v>339</v>
      </c>
      <c r="C637" s="58">
        <f>IFERROR(VLOOKUP(B637 ,INVENTARIO!$B$2:C994,2,0),"")</f>
        <v>6903</v>
      </c>
      <c r="D637" s="62">
        <v>6.0</v>
      </c>
      <c r="E637" s="60"/>
      <c r="F637" s="61">
        <f t="shared" si="1"/>
        <v>45918.57603</v>
      </c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57" t="s">
        <v>261</v>
      </c>
      <c r="C638" s="58" t="str">
        <f>IFERROR(VLOOKUP(B638 ,INVENTARIO!$B$2:C994,2,0),"")</f>
        <v>608Z</v>
      </c>
      <c r="D638" s="62">
        <v>8.0</v>
      </c>
      <c r="E638" s="60"/>
      <c r="F638" s="61">
        <f t="shared" si="1"/>
        <v>45918.57617</v>
      </c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57" t="s">
        <v>108</v>
      </c>
      <c r="C639" s="58" t="str">
        <f>IFERROR(VLOOKUP(B639 ,INVENTARIO!$B$2:C994,2,0),"")</f>
        <v>UC204</v>
      </c>
      <c r="D639" s="62">
        <v>10.0</v>
      </c>
      <c r="E639" s="60"/>
      <c r="F639" s="61">
        <f t="shared" si="1"/>
        <v>45925.47522</v>
      </c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57" t="s">
        <v>339</v>
      </c>
      <c r="C640" s="58">
        <f>IFERROR(VLOOKUP(B640 ,INVENTARIO!$B$2:C994,2,0),"")</f>
        <v>6903</v>
      </c>
      <c r="D640" s="62">
        <v>10.0</v>
      </c>
      <c r="E640" s="60"/>
      <c r="F640" s="61">
        <f t="shared" si="1"/>
        <v>45925.47608</v>
      </c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57" t="s">
        <v>122</v>
      </c>
      <c r="C641" s="58" t="str">
        <f>IFERROR(VLOOKUP(B641 ,INVENTARIO!$B$2:C994,2,0),"")</f>
        <v>UC205</v>
      </c>
      <c r="D641" s="62">
        <v>4.0</v>
      </c>
      <c r="E641" s="60"/>
      <c r="F641" s="61">
        <f t="shared" si="1"/>
        <v>45931.63577</v>
      </c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57" t="s">
        <v>122</v>
      </c>
      <c r="C642" s="58" t="str">
        <f>IFERROR(VLOOKUP(B642 ,INVENTARIO!$B$2:C994,2,0),"")</f>
        <v>UC205</v>
      </c>
      <c r="D642" s="62">
        <v>4.0</v>
      </c>
      <c r="E642" s="60"/>
      <c r="F642" s="61">
        <f t="shared" si="1"/>
        <v>45939.34569</v>
      </c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57" t="s">
        <v>246</v>
      </c>
      <c r="C643" s="58" t="str">
        <f>IFERROR(VLOOKUP(B643 ,INVENTARIO!$B$2:C994,2,0),"")</f>
        <v/>
      </c>
      <c r="D643" s="62"/>
      <c r="E643" s="60"/>
      <c r="F643" s="61">
        <f t="shared" si="1"/>
        <v>45939.3459</v>
      </c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57" t="s">
        <v>1100</v>
      </c>
      <c r="C644" s="58" t="str">
        <f>IFERROR(VLOOKUP(B644 ,INVENTARIO!$B$2:C994,2,0),"")</f>
        <v>Fuente Switching 60W/5A/12V R.Din</v>
      </c>
      <c r="D644" s="62">
        <v>3.0</v>
      </c>
      <c r="E644" s="60"/>
      <c r="F644" s="61">
        <f t="shared" si="1"/>
        <v>45939.35839</v>
      </c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57" t="s">
        <v>1221</v>
      </c>
      <c r="C645" s="58" t="str">
        <f>IFERROR(VLOOKUP(B645 ,INVENTARIO!$B$2:C994,2,0),"")</f>
        <v>sec1x8kv 20a 11kv tranformador de encendido Mod.8000</v>
      </c>
      <c r="D645" s="62">
        <v>1.0</v>
      </c>
      <c r="E645" s="60"/>
      <c r="F645" s="61">
        <f t="shared" si="1"/>
        <v>45950.46242</v>
      </c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57" t="s">
        <v>1872</v>
      </c>
      <c r="C646" s="58" t="str">
        <f>IFERROR(VLOOKUP(B646 ,INVENTARIO!$B$2:C994,2,0),"")</f>
        <v>Valvula Danfoss TX2 R22 S/COMPENSADOR 068Z3206</v>
      </c>
      <c r="D646" s="62">
        <v>3.0</v>
      </c>
      <c r="E646" s="60"/>
      <c r="F646" s="61">
        <f t="shared" si="1"/>
        <v>45953.37385</v>
      </c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57" t="s">
        <v>1875</v>
      </c>
      <c r="C647" s="58" t="str">
        <f>IFERROR(VLOOKUP(B647 ,INVENTARIO!$B$2:C994,2,0),"")</f>
        <v>Tobera Danfoss T2 Nr.03 (1T R12/502-1.5T R22) 0682006</v>
      </c>
      <c r="D647" s="62">
        <v>3.0</v>
      </c>
      <c r="E647" s="60"/>
      <c r="F647" s="61">
        <f t="shared" si="1"/>
        <v>45953.37411</v>
      </c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57" t="s">
        <v>339</v>
      </c>
      <c r="C648" s="58">
        <f>IFERROR(VLOOKUP(B648 ,INVENTARIO!$B$2:C994,2,0),"")</f>
        <v>6903</v>
      </c>
      <c r="D648" s="62">
        <v>10.0</v>
      </c>
      <c r="E648" s="60"/>
      <c r="F648" s="61">
        <f t="shared" si="1"/>
        <v>45955.43065</v>
      </c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57" t="s">
        <v>248</v>
      </c>
      <c r="C649" s="58" t="str">
        <f>IFERROR(VLOOKUP(B649 ,INVENTARIO!$B$2:C994,2,0),"")</f>
        <v>6004-2RST/C3</v>
      </c>
      <c r="D649" s="62">
        <v>6.0</v>
      </c>
      <c r="E649" s="60"/>
      <c r="F649" s="61">
        <f t="shared" si="1"/>
        <v>45955.43087</v>
      </c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57" t="s">
        <v>122</v>
      </c>
      <c r="C650" s="58" t="str">
        <f>IFERROR(VLOOKUP(B650 ,INVENTARIO!$B$2:C994,2,0),"")</f>
        <v>UC205</v>
      </c>
      <c r="D650" s="62">
        <v>2.0</v>
      </c>
      <c r="E650" s="60"/>
      <c r="F650" s="61">
        <f t="shared" si="1"/>
        <v>45955.43113</v>
      </c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57" t="s">
        <v>1677</v>
      </c>
      <c r="C651" s="58" t="str">
        <f>IFERROR(VLOOKUP(B651 ,INVENTARIO!$B$2:C994,2,0),"")</f>
        <v>Biocida Bardahl x 900ML</v>
      </c>
      <c r="D651" s="62">
        <v>2.0</v>
      </c>
      <c r="E651" s="60"/>
      <c r="F651" s="61">
        <f t="shared" si="1"/>
        <v>45962.43091</v>
      </c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57" t="s">
        <v>527</v>
      </c>
      <c r="C652" s="58" t="str">
        <f>IFERROR(VLOOKUP(B652 ,INVENTARIO!$B$2:C994,2,0),"")</f>
        <v>Codigo/Marca WR900 Wega </v>
      </c>
      <c r="D652" s="62">
        <v>2.0</v>
      </c>
      <c r="E652" s="60"/>
      <c r="F652" s="61">
        <f t="shared" si="1"/>
        <v>45962.4325</v>
      </c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57" t="s">
        <v>1781</v>
      </c>
      <c r="C653" s="58"/>
      <c r="D653" s="62">
        <v>200.0</v>
      </c>
      <c r="E653" s="60"/>
      <c r="F653" s="61">
        <f t="shared" si="1"/>
        <v>45965.40119</v>
      </c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57" t="s">
        <v>1775</v>
      </c>
      <c r="C654" s="58" t="str">
        <f>IFERROR(VLOOKUP(B654 ,INVENTARIO!$B$2:C994,2,0),"")</f>
        <v>Piñ.Acetal blanco Z16 p.eje 1 1/2"</v>
      </c>
      <c r="D654" s="62">
        <v>6.0</v>
      </c>
      <c r="E654" s="60"/>
      <c r="F654" s="61">
        <f t="shared" si="1"/>
        <v>45965.40219</v>
      </c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57" t="s">
        <v>421</v>
      </c>
      <c r="C655" s="58" t="str">
        <f>IFERROR(VLOOKUP(B655 ,INVENTARIO!$B$2:C994,2,0),"")</f>
        <v>union T hembra</v>
      </c>
      <c r="D655" s="62">
        <v>2.0</v>
      </c>
      <c r="E655" s="60"/>
      <c r="F655" s="61">
        <f t="shared" si="1"/>
        <v>45965.64208</v>
      </c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57" t="s">
        <v>391</v>
      </c>
      <c r="C656" s="58" t="str">
        <f>IFERROR(VLOOKUP(B656 ,INVENTARIO!$B$2:C994,2,0),"")</f>
        <v>entre rosca</v>
      </c>
      <c r="D656" s="62">
        <v>5.0</v>
      </c>
      <c r="E656" s="60"/>
      <c r="F656" s="61">
        <f t="shared" si="1"/>
        <v>45965.64253</v>
      </c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57" t="s">
        <v>465</v>
      </c>
      <c r="C657" s="58" t="str">
        <f>IFERROR(VLOOKUP(B657 ,INVENTARIO!$B$2:C994,2,0),"")</f>
        <v>unionT</v>
      </c>
      <c r="D657" s="62">
        <v>5.0</v>
      </c>
      <c r="E657" s="60"/>
      <c r="F657" s="61">
        <f t="shared" si="1"/>
        <v>45965.64317</v>
      </c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57" t="s">
        <v>318</v>
      </c>
      <c r="C658" s="58" t="str">
        <f>IFERROR(VLOOKUP(B658 ,INVENTARIO!$B$2:C994,2,0),"")</f>
        <v>6307 2RS</v>
      </c>
      <c r="D658" s="62">
        <v>4.0</v>
      </c>
      <c r="E658" s="60"/>
      <c r="F658" s="61">
        <f t="shared" si="1"/>
        <v>45968.63063</v>
      </c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57" t="s">
        <v>564</v>
      </c>
      <c r="C659" s="58" t="str">
        <f>IFERROR(VLOOKUP(B659 ,INVENTARIO!$B$2:C994,2,0),"")</f>
        <v>24 volt de bobina</v>
      </c>
      <c r="D659" s="62">
        <v>1.0</v>
      </c>
      <c r="E659" s="60"/>
      <c r="F659" s="61">
        <f t="shared" si="1"/>
        <v>45968.63364</v>
      </c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57" t="s">
        <v>268</v>
      </c>
      <c r="C660" s="58" t="str">
        <f>IFERROR(VLOOKUP(B660 ,INVENTARIO!$B$2:C994,2,0),"")</f>
        <v>6200-2RSC3</v>
      </c>
      <c r="D660" s="62">
        <v>2.0</v>
      </c>
      <c r="E660" s="60"/>
      <c r="F660" s="61">
        <f t="shared" si="1"/>
        <v>45968.6339</v>
      </c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57" t="s">
        <v>1396</v>
      </c>
      <c r="C661" s="58" t="str">
        <f>IFERROR(VLOOKUP(B661 ,INVENTARIO!$B$2:C994,2,0),"")</f>
        <v>25-62-10</v>
      </c>
      <c r="D661" s="62">
        <v>10.0</v>
      </c>
      <c r="E661" s="60"/>
      <c r="F661" s="61">
        <f t="shared" si="1"/>
        <v>45968.63671</v>
      </c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57" t="s">
        <v>1932</v>
      </c>
      <c r="C662" s="58" t="str">
        <f>IFERROR(VLOOKUP(B662 ,INVENTARIO!$B$2:C994,2,0),"")</f>
        <v/>
      </c>
      <c r="D662" s="62">
        <v>1.0</v>
      </c>
      <c r="E662" s="60"/>
      <c r="F662" s="61">
        <f t="shared" si="1"/>
        <v>45969.26835</v>
      </c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57" t="s">
        <v>1933</v>
      </c>
      <c r="C663" s="58" t="str">
        <f>IFERROR(VLOOKUP(B663 ,INVENTARIO!$B$2:C994,2,0),"")</f>
        <v/>
      </c>
      <c r="D663" s="62">
        <v>1.0</v>
      </c>
      <c r="E663" s="60"/>
      <c r="F663" s="61">
        <f t="shared" si="1"/>
        <v>45969.26857</v>
      </c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69"/>
      <c r="C664" s="58" t="str">
        <f>IFERROR(VLOOKUP(B664 ,INVENTARIO!$B$2:C994,2,0),"")</f>
        <v/>
      </c>
      <c r="D664" s="62"/>
      <c r="E664" s="60"/>
      <c r="F664" s="61" t="str">
        <f t="shared" si="1"/>
        <v/>
      </c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69"/>
      <c r="C665" s="58" t="str">
        <f>IFERROR(VLOOKUP(B665 ,INVENTARIO!$B$2:C994,2,0),"")</f>
        <v/>
      </c>
      <c r="D665" s="62"/>
      <c r="E665" s="60"/>
      <c r="F665" s="61" t="str">
        <f t="shared" si="1"/>
        <v/>
      </c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69"/>
      <c r="C666" s="58" t="str">
        <f>IFERROR(VLOOKUP(B666 ,INVENTARIO!$B$2:C994,2,0),"")</f>
        <v/>
      </c>
      <c r="D666" s="62"/>
      <c r="E666" s="60"/>
      <c r="F666" s="61" t="str">
        <f t="shared" si="1"/>
        <v/>
      </c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69"/>
      <c r="C667" s="58" t="str">
        <f>IFERROR(VLOOKUP(B667 ,INVENTARIO!$B$2:C994,2,0),"")</f>
        <v/>
      </c>
      <c r="D667" s="62"/>
      <c r="E667" s="60"/>
      <c r="F667" s="61" t="str">
        <f t="shared" si="1"/>
        <v/>
      </c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69"/>
      <c r="C668" s="58" t="str">
        <f>IFERROR(VLOOKUP(B668 ,INVENTARIO!$B$2:C994,2,0),"")</f>
        <v/>
      </c>
      <c r="D668" s="62"/>
      <c r="E668" s="60"/>
      <c r="F668" s="61" t="str">
        <f t="shared" si="1"/>
        <v/>
      </c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69"/>
      <c r="C669" s="58" t="str">
        <f>IFERROR(VLOOKUP(B669 ,INVENTARIO!$B$2:C994,2,0),"")</f>
        <v/>
      </c>
      <c r="D669" s="62"/>
      <c r="E669" s="60"/>
      <c r="F669" s="61" t="str">
        <f t="shared" si="1"/>
        <v/>
      </c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69"/>
      <c r="C670" s="58" t="str">
        <f>IFERROR(VLOOKUP(B670 ,INVENTARIO!$B$2:C994,2,0),"")</f>
        <v/>
      </c>
      <c r="D670" s="62"/>
      <c r="E670" s="60"/>
      <c r="F670" s="61" t="str">
        <f t="shared" si="1"/>
        <v/>
      </c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69"/>
      <c r="C671" s="58" t="str">
        <f>IFERROR(VLOOKUP(B671 ,INVENTARIO!$B$2:C994,2,0),"")</f>
        <v/>
      </c>
      <c r="D671" s="62"/>
      <c r="E671" s="60"/>
      <c r="F671" s="61" t="str">
        <f t="shared" si="1"/>
        <v/>
      </c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69"/>
      <c r="C672" s="58" t="str">
        <f>IFERROR(VLOOKUP(B672 ,INVENTARIO!$B$2:C994,2,0),"")</f>
        <v/>
      </c>
      <c r="D672" s="62"/>
      <c r="E672" s="60"/>
      <c r="F672" s="61" t="str">
        <f t="shared" si="1"/>
        <v/>
      </c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69"/>
      <c r="C673" s="58" t="str">
        <f>IFERROR(VLOOKUP(B673 ,INVENTARIO!$B$2:C994,2,0),"")</f>
        <v/>
      </c>
      <c r="D673" s="62"/>
      <c r="E673" s="60"/>
      <c r="F673" s="61" t="str">
        <f t="shared" si="1"/>
        <v/>
      </c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69"/>
      <c r="C674" s="58" t="str">
        <f>IFERROR(VLOOKUP(B674 ,INVENTARIO!$B$2:C994,2,0),"")</f>
        <v/>
      </c>
      <c r="D674" s="62"/>
      <c r="E674" s="60"/>
      <c r="F674" s="61" t="str">
        <f t="shared" si="1"/>
        <v/>
      </c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69"/>
      <c r="C675" s="58" t="str">
        <f>IFERROR(VLOOKUP(B675 ,INVENTARIO!$B$2:C994,2,0),"")</f>
        <v/>
      </c>
      <c r="D675" s="62"/>
      <c r="E675" s="60"/>
      <c r="F675" s="61" t="str">
        <f t="shared" si="1"/>
        <v/>
      </c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69"/>
      <c r="C676" s="58" t="str">
        <f>IFERROR(VLOOKUP(B676 ,INVENTARIO!$B$2:C994,2,0),"")</f>
        <v/>
      </c>
      <c r="D676" s="62"/>
      <c r="E676" s="60"/>
      <c r="F676" s="61" t="str">
        <f t="shared" si="1"/>
        <v/>
      </c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69"/>
      <c r="C677" s="58" t="str">
        <f>IFERROR(VLOOKUP(B677 ,INVENTARIO!$B$2:C994,2,0),"")</f>
        <v/>
      </c>
      <c r="D677" s="62"/>
      <c r="E677" s="60"/>
      <c r="F677" s="61" t="str">
        <f t="shared" si="1"/>
        <v/>
      </c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69"/>
      <c r="C678" s="58" t="str">
        <f>IFERROR(VLOOKUP(B678 ,INVENTARIO!$B$2:C994,2,0),"")</f>
        <v/>
      </c>
      <c r="D678" s="62"/>
      <c r="E678" s="60"/>
      <c r="F678" s="61" t="str">
        <f t="shared" si="1"/>
        <v/>
      </c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69"/>
      <c r="C679" s="58" t="str">
        <f>IFERROR(VLOOKUP(B679 ,INVENTARIO!$B$2:C994,2,0),"")</f>
        <v/>
      </c>
      <c r="D679" s="64"/>
      <c r="E679" s="60"/>
      <c r="F679" s="61" t="str">
        <f t="shared" si="1"/>
        <v/>
      </c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69"/>
      <c r="C680" s="58" t="str">
        <f>IFERROR(VLOOKUP(B680 ,INVENTARIO!$B$2:C994,2,0),"")</f>
        <v/>
      </c>
      <c r="D680" s="65"/>
      <c r="E680" s="60"/>
      <c r="F680" s="61" t="str">
        <f t="shared" si="1"/>
        <v/>
      </c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69"/>
      <c r="C681" s="58" t="str">
        <f>IFERROR(VLOOKUP(B681 ,INVENTARIO!$B$2:C994,2,0),"")</f>
        <v/>
      </c>
      <c r="D681" s="65"/>
      <c r="E681" s="60"/>
      <c r="F681" s="61" t="str">
        <f t="shared" si="1"/>
        <v/>
      </c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69"/>
      <c r="C682" s="58" t="str">
        <f>IFERROR(VLOOKUP(B682 ,INVENTARIO!$B$2:C994,2,0),"")</f>
        <v/>
      </c>
      <c r="D682" s="65"/>
      <c r="E682" s="60"/>
      <c r="F682" s="61" t="str">
        <f t="shared" si="1"/>
        <v/>
      </c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69"/>
      <c r="C683" s="58" t="str">
        <f>IFERROR(VLOOKUP(B683 ,INVENTARIO!$B$2:C994,2,0),"")</f>
        <v/>
      </c>
      <c r="D683" s="65"/>
      <c r="E683" s="60"/>
      <c r="F683" s="61" t="str">
        <f t="shared" si="1"/>
        <v/>
      </c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69"/>
      <c r="C684" s="58" t="str">
        <f>IFERROR(VLOOKUP(B684 ,INVENTARIO!$B$2:C994,2,0),"")</f>
        <v/>
      </c>
      <c r="D684" s="65"/>
      <c r="E684" s="60"/>
      <c r="F684" s="61" t="str">
        <f t="shared" si="1"/>
        <v/>
      </c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69"/>
      <c r="C685" s="58" t="str">
        <f>IFERROR(VLOOKUP(B685 ,INVENTARIO!$B$2:C994,2,0),"")</f>
        <v/>
      </c>
      <c r="D685" s="65"/>
      <c r="E685" s="60"/>
      <c r="F685" s="61" t="str">
        <f t="shared" si="1"/>
        <v/>
      </c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69"/>
      <c r="C686" s="58" t="str">
        <f>IFERROR(VLOOKUP(B686 ,INVENTARIO!$B$2:C994,2,0),"")</f>
        <v/>
      </c>
      <c r="D686" s="65"/>
      <c r="E686" s="60"/>
      <c r="F686" s="61" t="str">
        <f t="shared" si="1"/>
        <v/>
      </c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69"/>
      <c r="C687" s="58" t="str">
        <f>IFERROR(VLOOKUP(B687 ,INVENTARIO!$B$2:C994,2,0),"")</f>
        <v/>
      </c>
      <c r="D687" s="65"/>
      <c r="E687" s="60"/>
      <c r="F687" s="61" t="str">
        <f t="shared" si="1"/>
        <v/>
      </c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69"/>
      <c r="C688" s="58" t="str">
        <f>IFERROR(VLOOKUP(B688 ,INVENTARIO!$B$2:C994,2,0),"")</f>
        <v/>
      </c>
      <c r="D688" s="65"/>
      <c r="E688" s="60"/>
      <c r="F688" s="61" t="str">
        <f t="shared" si="1"/>
        <v/>
      </c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69"/>
      <c r="C689" s="58" t="str">
        <f>IFERROR(VLOOKUP(B689 ,INVENTARIO!$B$2:C994,2,0),"")</f>
        <v/>
      </c>
      <c r="D689" s="65"/>
      <c r="E689" s="60"/>
      <c r="F689" s="61" t="str">
        <f t="shared" si="1"/>
        <v/>
      </c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69"/>
      <c r="C690" s="58" t="str">
        <f>IFERROR(VLOOKUP(B690 ,INVENTARIO!$B$2:C994,2,0),"")</f>
        <v/>
      </c>
      <c r="D690" s="65"/>
      <c r="E690" s="60"/>
      <c r="F690" s="61" t="str">
        <f t="shared" si="1"/>
        <v/>
      </c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69"/>
      <c r="C691" s="58" t="str">
        <f>IFERROR(VLOOKUP(B691 ,INVENTARIO!$B$2:C994,2,0),"")</f>
        <v/>
      </c>
      <c r="D691" s="65"/>
      <c r="E691" s="60"/>
      <c r="F691" s="61" t="str">
        <f t="shared" si="1"/>
        <v/>
      </c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69"/>
      <c r="C692" s="58" t="str">
        <f>IFERROR(VLOOKUP(B692 ,INVENTARIO!$B$2:C994,2,0),"")</f>
        <v/>
      </c>
      <c r="D692" s="65"/>
      <c r="E692" s="60"/>
      <c r="F692" s="61" t="str">
        <f t="shared" si="1"/>
        <v/>
      </c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69"/>
      <c r="C693" s="58" t="str">
        <f>IFERROR(VLOOKUP(B693 ,INVENTARIO!$B$2:C994,2,0),"")</f>
        <v/>
      </c>
      <c r="D693" s="65"/>
      <c r="E693" s="60"/>
      <c r="F693" s="61" t="str">
        <f t="shared" si="1"/>
        <v/>
      </c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69"/>
      <c r="C694" s="58" t="str">
        <f>IFERROR(VLOOKUP(B694 ,INVENTARIO!$B$2:C994,2,0),"")</f>
        <v/>
      </c>
      <c r="D694" s="65"/>
      <c r="E694" s="60"/>
      <c r="F694" s="61" t="str">
        <f t="shared" si="1"/>
        <v/>
      </c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69"/>
      <c r="C695" s="58" t="str">
        <f>IFERROR(VLOOKUP(B695 ,INVENTARIO!$B$2:C994,2,0),"")</f>
        <v/>
      </c>
      <c r="D695" s="65"/>
      <c r="E695" s="60"/>
      <c r="F695" s="61" t="str">
        <f t="shared" si="1"/>
        <v/>
      </c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69"/>
      <c r="C696" s="58" t="str">
        <f>IFERROR(VLOOKUP(B696 ,INVENTARIO!$B$2:C994,2,0),"")</f>
        <v/>
      </c>
      <c r="D696" s="65"/>
      <c r="E696" s="60"/>
      <c r="F696" s="61" t="str">
        <f t="shared" si="1"/>
        <v/>
      </c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69"/>
      <c r="C697" s="58" t="str">
        <f>IFERROR(VLOOKUP(B697 ,INVENTARIO!$B$2:C994,2,0),"")</f>
        <v/>
      </c>
      <c r="D697" s="65"/>
      <c r="E697" s="60"/>
      <c r="F697" s="61" t="str">
        <f t="shared" si="1"/>
        <v/>
      </c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69"/>
      <c r="C698" s="58" t="str">
        <f>IFERROR(VLOOKUP(B698 ,INVENTARIO!$B$2:C994,2,0),"")</f>
        <v/>
      </c>
      <c r="D698" s="65"/>
      <c r="E698" s="60"/>
      <c r="F698" s="61" t="str">
        <f t="shared" si="1"/>
        <v/>
      </c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69"/>
      <c r="C699" s="58" t="str">
        <f>IFERROR(VLOOKUP(B699 ,INVENTARIO!$B$2:C994,2,0),"")</f>
        <v/>
      </c>
      <c r="D699" s="65"/>
      <c r="E699" s="60"/>
      <c r="F699" s="61" t="str">
        <f t="shared" si="1"/>
        <v/>
      </c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69"/>
      <c r="C700" s="58" t="str">
        <f>IFERROR(VLOOKUP(B700 ,INVENTARIO!$B$2:C994,2,0),"")</f>
        <v/>
      </c>
      <c r="D700" s="65"/>
      <c r="E700" s="60"/>
      <c r="F700" s="61" t="str">
        <f t="shared" si="1"/>
        <v/>
      </c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69"/>
      <c r="C701" s="58" t="str">
        <f>IFERROR(VLOOKUP(B701 ,INVENTARIO!$B$2:C994,2,0),"")</f>
        <v/>
      </c>
      <c r="D701" s="65"/>
      <c r="E701" s="60"/>
      <c r="F701" s="61" t="str">
        <f t="shared" si="1"/>
        <v/>
      </c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69"/>
      <c r="C702" s="58" t="str">
        <f>IFERROR(VLOOKUP(B702 ,INVENTARIO!$B$2:C994,2,0),"")</f>
        <v/>
      </c>
      <c r="D702" s="65"/>
      <c r="E702" s="60"/>
      <c r="F702" s="61" t="str">
        <f t="shared" si="1"/>
        <v/>
      </c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69"/>
      <c r="C703" s="58" t="str">
        <f>IFERROR(VLOOKUP(B703 ,INVENTARIO!$B$2:C994,2,0),"")</f>
        <v/>
      </c>
      <c r="D703" s="65"/>
      <c r="E703" s="60"/>
      <c r="F703" s="61" t="str">
        <f t="shared" si="1"/>
        <v/>
      </c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69"/>
      <c r="C704" s="58" t="str">
        <f>IFERROR(VLOOKUP(B704 ,INVENTARIO!$B$2:C994,2,0),"")</f>
        <v/>
      </c>
      <c r="D704" s="65"/>
      <c r="E704" s="60"/>
      <c r="F704" s="61" t="str">
        <f t="shared" si="1"/>
        <v/>
      </c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69"/>
      <c r="C705" s="58" t="str">
        <f>IFERROR(VLOOKUP(B705 ,INVENTARIO!$B$2:C994,2,0),"")</f>
        <v/>
      </c>
      <c r="D705" s="65"/>
      <c r="E705" s="60"/>
      <c r="F705" s="61" t="str">
        <f t="shared" si="1"/>
        <v/>
      </c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69"/>
      <c r="C706" s="58" t="str">
        <f>IFERROR(VLOOKUP(B706 ,INVENTARIO!$B$2:C994,2,0),"")</f>
        <v/>
      </c>
      <c r="D706" s="64"/>
      <c r="E706" s="60"/>
      <c r="F706" s="61" t="str">
        <f t="shared" si="1"/>
        <v/>
      </c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69"/>
      <c r="C707" s="58" t="str">
        <f>IFERROR(VLOOKUP(B707 ,INVENTARIO!$B$2:C994,2,0),"")</f>
        <v/>
      </c>
      <c r="D707" s="65"/>
      <c r="E707" s="60"/>
      <c r="F707" s="61" t="str">
        <f t="shared" si="1"/>
        <v/>
      </c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69"/>
      <c r="C708" s="58" t="str">
        <f>IFERROR(VLOOKUP(B708 ,INVENTARIO!$B$2:C994,2,0),"")</f>
        <v/>
      </c>
      <c r="D708" s="65"/>
      <c r="E708" s="60"/>
      <c r="F708" s="61" t="str">
        <f t="shared" si="1"/>
        <v/>
      </c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69"/>
      <c r="C709" s="58" t="str">
        <f>IFERROR(VLOOKUP(B709 ,INVENTARIO!$B$2:C994,2,0),"")</f>
        <v/>
      </c>
      <c r="D709" s="65"/>
      <c r="E709" s="60"/>
      <c r="F709" s="61" t="str">
        <f t="shared" si="1"/>
        <v/>
      </c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69"/>
      <c r="C710" s="58" t="str">
        <f>IFERROR(VLOOKUP(B710 ,INVENTARIO!$B$2:C994,2,0),"")</f>
        <v/>
      </c>
      <c r="D710" s="65"/>
      <c r="E710" s="60"/>
      <c r="F710" s="61" t="str">
        <f t="shared" si="1"/>
        <v/>
      </c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69"/>
      <c r="C711" s="58" t="str">
        <f>IFERROR(VLOOKUP(B711 ,INVENTARIO!$B$2:C994,2,0),"")</f>
        <v/>
      </c>
      <c r="D711" s="65"/>
      <c r="E711" s="60"/>
      <c r="F711" s="61" t="str">
        <f t="shared" si="1"/>
        <v/>
      </c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69"/>
      <c r="C712" s="58" t="str">
        <f>IFERROR(VLOOKUP(B712 ,INVENTARIO!$B$2:C994,2,0),"")</f>
        <v/>
      </c>
      <c r="D712" s="65"/>
      <c r="E712" s="60"/>
      <c r="F712" s="61" t="str">
        <f t="shared" si="1"/>
        <v/>
      </c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69"/>
      <c r="C713" s="58" t="str">
        <f>IFERROR(VLOOKUP(B713 ,INVENTARIO!$B$2:C994,2,0),"")</f>
        <v/>
      </c>
      <c r="D713" s="65"/>
      <c r="E713" s="60"/>
      <c r="F713" s="61" t="str">
        <f t="shared" si="1"/>
        <v/>
      </c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69"/>
      <c r="C714" s="58" t="str">
        <f>IFERROR(VLOOKUP(B714 ,INVENTARIO!$B$2:C994,2,0),"")</f>
        <v/>
      </c>
      <c r="D714" s="70"/>
      <c r="E714" s="60"/>
      <c r="F714" s="61" t="str">
        <f t="shared" si="1"/>
        <v/>
      </c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69"/>
      <c r="C715" s="58" t="str">
        <f>IFERROR(VLOOKUP(B715 ,INVENTARIO!$B$2:C994,2,0),"")</f>
        <v/>
      </c>
      <c r="D715" s="70"/>
      <c r="E715" s="60"/>
      <c r="F715" s="61" t="str">
        <f t="shared" si="1"/>
        <v/>
      </c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69"/>
      <c r="C716" s="58" t="str">
        <f>IFERROR(VLOOKUP(B716 ,INVENTARIO!$B$2:C994,2,0),"")</f>
        <v/>
      </c>
      <c r="D716" s="70"/>
      <c r="E716" s="60"/>
      <c r="F716" s="61" t="str">
        <f t="shared" si="1"/>
        <v/>
      </c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69"/>
      <c r="C717" s="58" t="str">
        <f>IFERROR(VLOOKUP(B717 ,INVENTARIO!$B$2:C994,2,0),"")</f>
        <v/>
      </c>
      <c r="D717" s="70"/>
      <c r="E717" s="60"/>
      <c r="F717" s="61" t="str">
        <f t="shared" si="1"/>
        <v/>
      </c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69"/>
      <c r="C718" s="58" t="str">
        <f>IFERROR(VLOOKUP(B718 ,INVENTARIO!$B$2:C994,2,0),"")</f>
        <v/>
      </c>
      <c r="D718" s="70"/>
      <c r="E718" s="60"/>
      <c r="F718" s="61" t="str">
        <f t="shared" si="1"/>
        <v/>
      </c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69"/>
      <c r="C719" s="58" t="str">
        <f>IFERROR(VLOOKUP(B719 ,INVENTARIO!$B$2:C994,2,0),"")</f>
        <v/>
      </c>
      <c r="D719" s="70"/>
      <c r="E719" s="60"/>
      <c r="F719" s="61" t="str">
        <f t="shared" si="1"/>
        <v/>
      </c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69"/>
      <c r="C720" s="58" t="str">
        <f>IFERROR(VLOOKUP(B720 ,INVENTARIO!$B$2:C994,2,0),"")</f>
        <v/>
      </c>
      <c r="D720" s="70"/>
      <c r="E720" s="60"/>
      <c r="F720" s="61" t="str">
        <f t="shared" si="1"/>
        <v/>
      </c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69"/>
      <c r="C721" s="58" t="str">
        <f>IFERROR(VLOOKUP(B721 ,INVENTARIO!$B$2:C994,2,0),"")</f>
        <v/>
      </c>
      <c r="D721" s="70"/>
      <c r="E721" s="60"/>
      <c r="F721" s="61" t="str">
        <f t="shared" si="1"/>
        <v/>
      </c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69"/>
      <c r="C722" s="58" t="str">
        <f>IFERROR(VLOOKUP(B722 ,INVENTARIO!$B$2:C994,2,0),"")</f>
        <v/>
      </c>
      <c r="D722" s="70"/>
      <c r="E722" s="60"/>
      <c r="F722" s="61" t="str">
        <f t="shared" si="1"/>
        <v/>
      </c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69"/>
      <c r="C723" s="58" t="str">
        <f>IFERROR(VLOOKUP(B723 ,INVENTARIO!$B$2:C994,2,0),"")</f>
        <v/>
      </c>
      <c r="D723" s="70"/>
      <c r="E723" s="60"/>
      <c r="F723" s="61" t="str">
        <f t="shared" si="1"/>
        <v/>
      </c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69"/>
      <c r="C724" s="58" t="str">
        <f>IFERROR(VLOOKUP(B724 ,INVENTARIO!$B$2:C994,2,0),"")</f>
        <v/>
      </c>
      <c r="D724" s="70"/>
      <c r="E724" s="60"/>
      <c r="F724" s="61" t="str">
        <f t="shared" si="1"/>
        <v/>
      </c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69"/>
      <c r="C725" s="58" t="str">
        <f>IFERROR(VLOOKUP(B725 ,INVENTARIO!$B$2:C994,2,0),"")</f>
        <v/>
      </c>
      <c r="D725" s="70"/>
      <c r="E725" s="60"/>
      <c r="F725" s="61" t="str">
        <f t="shared" si="1"/>
        <v/>
      </c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69"/>
      <c r="C726" s="58" t="str">
        <f>IFERROR(VLOOKUP(B726 ,INVENTARIO!$B$2:C994,2,0),"")</f>
        <v/>
      </c>
      <c r="D726" s="70"/>
      <c r="E726" s="60"/>
      <c r="F726" s="61" t="str">
        <f t="shared" si="1"/>
        <v/>
      </c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69"/>
      <c r="C727" s="58" t="str">
        <f>IFERROR(VLOOKUP(B727 ,INVENTARIO!$B$2:C994,2,0),"")</f>
        <v/>
      </c>
      <c r="D727" s="70"/>
      <c r="E727" s="60"/>
      <c r="F727" s="61" t="str">
        <f t="shared" si="1"/>
        <v/>
      </c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69"/>
      <c r="C728" s="58" t="str">
        <f>IFERROR(VLOOKUP(B728 ,INVENTARIO!$B$2:C994,2,0),"")</f>
        <v/>
      </c>
      <c r="D728" s="70"/>
      <c r="E728" s="60"/>
      <c r="F728" s="61" t="str">
        <f t="shared" si="1"/>
        <v/>
      </c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69"/>
      <c r="C729" s="58" t="str">
        <f>IFERROR(VLOOKUP(B729 ,INVENTARIO!$B$2:C994,2,0),"")</f>
        <v/>
      </c>
      <c r="D729" s="70"/>
      <c r="E729" s="60"/>
      <c r="F729" s="61" t="str">
        <f t="shared" si="1"/>
        <v/>
      </c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69"/>
      <c r="C730" s="58" t="str">
        <f>IFERROR(VLOOKUP(B730 ,INVENTARIO!$B$2:C994,2,0),"")</f>
        <v/>
      </c>
      <c r="D730" s="70"/>
      <c r="E730" s="60"/>
      <c r="F730" s="61" t="str">
        <f t="shared" si="1"/>
        <v/>
      </c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69"/>
      <c r="C731" s="58" t="str">
        <f>IFERROR(VLOOKUP(B731 ,INVENTARIO!$B$2:C994,2,0),"")</f>
        <v/>
      </c>
      <c r="D731" s="70"/>
      <c r="E731" s="60"/>
      <c r="F731" s="61" t="str">
        <f t="shared" si="1"/>
        <v/>
      </c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69"/>
      <c r="C732" s="58" t="str">
        <f>IFERROR(VLOOKUP(B732 ,INVENTARIO!$B$2:C994,2,0),"")</f>
        <v/>
      </c>
      <c r="D732" s="70"/>
      <c r="E732" s="60"/>
      <c r="F732" s="61" t="str">
        <f t="shared" si="1"/>
        <v/>
      </c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69"/>
      <c r="C733" s="58" t="str">
        <f>IFERROR(VLOOKUP(B733 ,INVENTARIO!$B$2:C994,2,0),"")</f>
        <v/>
      </c>
      <c r="D733" s="71"/>
      <c r="E733" s="60"/>
      <c r="F733" s="61" t="str">
        <f t="shared" si="1"/>
        <v/>
      </c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69"/>
      <c r="C734" s="58" t="str">
        <f>IFERROR(VLOOKUP(B734 ,INVENTARIO!$B$2:C994,2,0),"")</f>
        <v/>
      </c>
      <c r="D734" s="71"/>
      <c r="E734" s="60"/>
      <c r="F734" s="61" t="str">
        <f t="shared" si="1"/>
        <v/>
      </c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69"/>
      <c r="C735" s="58" t="str">
        <f>IFERROR(VLOOKUP(B735 ,INVENTARIO!$B$2:C994,2,0),"")</f>
        <v/>
      </c>
      <c r="D735" s="71"/>
      <c r="E735" s="60"/>
      <c r="F735" s="61" t="str">
        <f t="shared" si="1"/>
        <v/>
      </c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69"/>
      <c r="C736" s="58" t="str">
        <f>IFERROR(VLOOKUP(B736 ,INVENTARIO!$B$2:C994,2,0),"")</f>
        <v/>
      </c>
      <c r="D736" s="71"/>
      <c r="E736" s="60"/>
      <c r="F736" s="61" t="str">
        <f t="shared" si="1"/>
        <v/>
      </c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69"/>
      <c r="C737" s="58" t="str">
        <f>IFERROR(VLOOKUP(B737 ,INVENTARIO!$B$2:C994,2,0),"")</f>
        <v/>
      </c>
      <c r="D737" s="71"/>
      <c r="E737" s="60"/>
      <c r="F737" s="61" t="str">
        <f t="shared" si="1"/>
        <v/>
      </c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69"/>
      <c r="C738" s="58" t="str">
        <f>IFERROR(VLOOKUP(B738 ,INVENTARIO!$B$2:C994,2,0),"")</f>
        <v/>
      </c>
      <c r="D738" s="71"/>
      <c r="E738" s="60"/>
      <c r="F738" s="61" t="str">
        <f t="shared" si="1"/>
        <v/>
      </c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69"/>
      <c r="C739" s="58" t="str">
        <f>IFERROR(VLOOKUP(B739 ,INVENTARIO!$B$2:C994,2,0),"")</f>
        <v/>
      </c>
      <c r="D739" s="71"/>
      <c r="E739" s="60"/>
      <c r="F739" s="61" t="str">
        <f t="shared" si="1"/>
        <v/>
      </c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69"/>
      <c r="C740" s="58" t="str">
        <f>IFERROR(VLOOKUP(B740 ,INVENTARIO!$B$2:C994,2,0),"")</f>
        <v/>
      </c>
      <c r="D740" s="71"/>
      <c r="E740" s="60"/>
      <c r="F740" s="61" t="str">
        <f t="shared" si="1"/>
        <v/>
      </c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69"/>
      <c r="C741" s="58" t="str">
        <f>IFERROR(VLOOKUP(B741 ,INVENTARIO!$B$2:C994,2,0),"")</f>
        <v/>
      </c>
      <c r="D741" s="71"/>
      <c r="E741" s="60"/>
      <c r="F741" s="61" t="str">
        <f t="shared" si="1"/>
        <v/>
      </c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69"/>
      <c r="C742" s="58" t="str">
        <f>IFERROR(VLOOKUP(B742 ,INVENTARIO!$B$2:C994,2,0),"")</f>
        <v/>
      </c>
      <c r="D742" s="71"/>
      <c r="E742" s="60"/>
      <c r="F742" s="61" t="str">
        <f t="shared" si="1"/>
        <v/>
      </c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69"/>
      <c r="C743" s="58" t="str">
        <f>IFERROR(VLOOKUP(B743 ,INVENTARIO!$B$2:C994,2,0),"")</f>
        <v/>
      </c>
      <c r="D743" s="71"/>
      <c r="E743" s="60"/>
      <c r="F743" s="61" t="str">
        <f t="shared" si="1"/>
        <v/>
      </c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69"/>
      <c r="C744" s="58" t="str">
        <f>IFERROR(VLOOKUP(B744 ,INVENTARIO!$B$2:C994,2,0),"")</f>
        <v/>
      </c>
      <c r="D744" s="71"/>
      <c r="E744" s="60"/>
      <c r="F744" s="61" t="str">
        <f t="shared" si="1"/>
        <v/>
      </c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69"/>
      <c r="C745" s="58" t="str">
        <f>IFERROR(VLOOKUP(B745 ,INVENTARIO!$B$2:C994,2,0),"")</f>
        <v/>
      </c>
      <c r="D745" s="71"/>
      <c r="E745" s="60"/>
      <c r="F745" s="61" t="str">
        <f t="shared" si="1"/>
        <v/>
      </c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69"/>
      <c r="C746" s="58" t="str">
        <f>IFERROR(VLOOKUP(B746 ,INVENTARIO!$B$2:C994,2,0),"")</f>
        <v/>
      </c>
      <c r="D746" s="71"/>
      <c r="E746" s="60"/>
      <c r="F746" s="61" t="str">
        <f t="shared" si="1"/>
        <v/>
      </c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69"/>
      <c r="C747" s="58" t="str">
        <f>IFERROR(VLOOKUP(B747 ,INVENTARIO!$B$2:C994,2,0),"")</f>
        <v/>
      </c>
      <c r="D747" s="71"/>
      <c r="E747" s="60"/>
      <c r="F747" s="61" t="str">
        <f t="shared" si="1"/>
        <v/>
      </c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69"/>
      <c r="C748" s="58" t="str">
        <f>IFERROR(VLOOKUP(B748 ,INVENTARIO!$B$2:C994,2,0),"")</f>
        <v/>
      </c>
      <c r="D748" s="71"/>
      <c r="E748" s="60"/>
      <c r="F748" s="61" t="str">
        <f t="shared" si="1"/>
        <v/>
      </c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69"/>
      <c r="C749" s="58" t="str">
        <f>IFERROR(VLOOKUP(B749 ,INVENTARIO!$B$2:C994,2,0),"")</f>
        <v/>
      </c>
      <c r="D749" s="71"/>
      <c r="E749" s="60"/>
      <c r="F749" s="61" t="str">
        <f t="shared" si="1"/>
        <v/>
      </c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69"/>
      <c r="C750" s="58" t="str">
        <f>IFERROR(VLOOKUP(B750 ,INVENTARIO!$B$2:C994,2,0),"")</f>
        <v/>
      </c>
      <c r="D750" s="71"/>
      <c r="E750" s="60"/>
      <c r="F750" s="61" t="str">
        <f t="shared" si="1"/>
        <v/>
      </c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69"/>
      <c r="C751" s="58" t="str">
        <f>IFERROR(VLOOKUP(B751 ,INVENTARIO!$B$2:C994,2,0),"")</f>
        <v/>
      </c>
      <c r="D751" s="71"/>
      <c r="E751" s="60"/>
      <c r="F751" s="61" t="str">
        <f t="shared" si="1"/>
        <v/>
      </c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69"/>
      <c r="C752" s="58" t="str">
        <f>IFERROR(VLOOKUP(B752 ,INVENTARIO!$B$2:C994,2,0),"")</f>
        <v/>
      </c>
      <c r="D752" s="71"/>
      <c r="E752" s="60"/>
      <c r="F752" s="61" t="str">
        <f t="shared" si="1"/>
        <v/>
      </c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69"/>
      <c r="C753" s="58" t="str">
        <f>IFERROR(VLOOKUP(B753 ,INVENTARIO!$B$2:C994,2,0),"")</f>
        <v/>
      </c>
      <c r="D753" s="71"/>
      <c r="E753" s="60"/>
      <c r="F753" s="61" t="str">
        <f t="shared" si="1"/>
        <v/>
      </c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69"/>
      <c r="C754" s="58" t="str">
        <f>IFERROR(VLOOKUP(B754 ,INVENTARIO!$B$2:C994,2,0),"")</f>
        <v/>
      </c>
      <c r="D754" s="71"/>
      <c r="E754" s="60"/>
      <c r="F754" s="61" t="str">
        <f t="shared" si="1"/>
        <v/>
      </c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69"/>
      <c r="C755" s="58" t="str">
        <f>IFERROR(VLOOKUP(B755 ,INVENTARIO!$B$2:C994,2,0),"")</f>
        <v/>
      </c>
      <c r="D755" s="71"/>
      <c r="E755" s="60"/>
      <c r="F755" s="61" t="str">
        <f t="shared" si="1"/>
        <v/>
      </c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69"/>
      <c r="C756" s="58" t="str">
        <f>IFERROR(VLOOKUP(B756 ,INVENTARIO!$B$2:C994,2,0),"")</f>
        <v/>
      </c>
      <c r="D756" s="71"/>
      <c r="E756" s="60"/>
      <c r="F756" s="61" t="str">
        <f t="shared" si="1"/>
        <v/>
      </c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69"/>
      <c r="C757" s="58" t="str">
        <f>IFERROR(VLOOKUP(B757 ,INVENTARIO!$B$2:C994,2,0),"")</f>
        <v/>
      </c>
      <c r="D757" s="71"/>
      <c r="E757" s="60"/>
      <c r="F757" s="61" t="str">
        <f t="shared" si="1"/>
        <v/>
      </c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69"/>
      <c r="C758" s="58" t="str">
        <f>IFERROR(VLOOKUP(B758 ,INVENTARIO!$B$2:C994,2,0),"")</f>
        <v/>
      </c>
      <c r="D758" s="71"/>
      <c r="E758" s="60"/>
      <c r="F758" s="61" t="str">
        <f t="shared" si="1"/>
        <v/>
      </c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69"/>
      <c r="C759" s="58" t="str">
        <f>IFERROR(VLOOKUP(B759 ,INVENTARIO!$B$2:C994,2,0),"")</f>
        <v/>
      </c>
      <c r="D759" s="71"/>
      <c r="E759" s="60"/>
      <c r="F759" s="61" t="str">
        <f t="shared" si="1"/>
        <v/>
      </c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69"/>
      <c r="C760" s="58" t="str">
        <f>IFERROR(VLOOKUP(B760 ,INVENTARIO!$B$2:C994,2,0),"")</f>
        <v/>
      </c>
      <c r="D760" s="71"/>
      <c r="E760" s="60"/>
      <c r="F760" s="61" t="str">
        <f t="shared" si="1"/>
        <v/>
      </c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69"/>
      <c r="C761" s="58" t="str">
        <f>IFERROR(VLOOKUP(B761 ,INVENTARIO!$B$2:C994,2,0),"")</f>
        <v/>
      </c>
      <c r="D761" s="71"/>
      <c r="E761" s="60"/>
      <c r="F761" s="61" t="str">
        <f t="shared" si="1"/>
        <v/>
      </c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69"/>
      <c r="C762" s="58" t="str">
        <f>IFERROR(VLOOKUP(B762 ,INVENTARIO!$B$2:C994,2,0),"")</f>
        <v/>
      </c>
      <c r="D762" s="71"/>
      <c r="E762" s="60"/>
      <c r="F762" s="61" t="str">
        <f t="shared" si="1"/>
        <v/>
      </c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69"/>
      <c r="C763" s="58" t="str">
        <f>IFERROR(VLOOKUP(B763 ,INVENTARIO!$B$2:C994,2,0),"")</f>
        <v/>
      </c>
      <c r="D763" s="71"/>
      <c r="E763" s="60"/>
      <c r="F763" s="61" t="str">
        <f t="shared" si="1"/>
        <v/>
      </c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69"/>
      <c r="C764" s="58" t="str">
        <f>IFERROR(VLOOKUP(B764 ,INVENTARIO!$B$2:C994,2,0),"")</f>
        <v/>
      </c>
      <c r="D764" s="71"/>
      <c r="E764" s="60"/>
      <c r="F764" s="61" t="str">
        <f t="shared" si="1"/>
        <v/>
      </c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69"/>
      <c r="C765" s="58" t="str">
        <f>IFERROR(VLOOKUP(B765 ,INVENTARIO!$B$2:C994,2,0),"")</f>
        <v/>
      </c>
      <c r="D765" s="71"/>
      <c r="E765" s="60"/>
      <c r="F765" s="61" t="str">
        <f t="shared" si="1"/>
        <v/>
      </c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69"/>
      <c r="C766" s="58" t="str">
        <f>IFERROR(VLOOKUP(B766 ,INVENTARIO!$B$2:C994,2,0),"")</f>
        <v/>
      </c>
      <c r="D766" s="71"/>
      <c r="E766" s="60"/>
      <c r="F766" s="61" t="str">
        <f t="shared" si="1"/>
        <v/>
      </c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69"/>
      <c r="C767" s="58" t="str">
        <f>IFERROR(VLOOKUP(B767 ,INVENTARIO!$B$2:C994,2,0),"")</f>
        <v/>
      </c>
      <c r="D767" s="71"/>
      <c r="E767" s="60"/>
      <c r="F767" s="61" t="str">
        <f t="shared" si="1"/>
        <v/>
      </c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69"/>
      <c r="C768" s="58" t="str">
        <f>IFERROR(VLOOKUP(B768 ,INVENTARIO!$B$2:C994,2,0),"")</f>
        <v/>
      </c>
      <c r="D768" s="71"/>
      <c r="E768" s="60"/>
      <c r="F768" s="61" t="str">
        <f t="shared" si="1"/>
        <v/>
      </c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69"/>
      <c r="C769" s="58" t="str">
        <f>IFERROR(VLOOKUP(B769 ,INVENTARIO!$B$2:C994,2,0),"")</f>
        <v/>
      </c>
      <c r="D769" s="71"/>
      <c r="E769" s="60"/>
      <c r="F769" s="61" t="str">
        <f t="shared" si="1"/>
        <v/>
      </c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69"/>
      <c r="C770" s="58" t="str">
        <f>IFERROR(VLOOKUP(B770 ,INVENTARIO!$B$2:C994,2,0),"")</f>
        <v/>
      </c>
      <c r="D770" s="71"/>
      <c r="E770" s="60"/>
      <c r="F770" s="61" t="str">
        <f t="shared" si="1"/>
        <v/>
      </c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69"/>
      <c r="C771" s="58" t="str">
        <f>IFERROR(VLOOKUP(B771 ,INVENTARIO!$B$2:C994,2,0),"")</f>
        <v/>
      </c>
      <c r="D771" s="71"/>
      <c r="E771" s="60"/>
      <c r="F771" s="61" t="str">
        <f t="shared" si="1"/>
        <v/>
      </c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69"/>
      <c r="C772" s="58" t="str">
        <f>IFERROR(VLOOKUP(B772 ,INVENTARIO!$B$2:C994,2,0),"")</f>
        <v/>
      </c>
      <c r="D772" s="71"/>
      <c r="E772" s="60"/>
      <c r="F772" s="61" t="str">
        <f t="shared" si="1"/>
        <v/>
      </c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69"/>
      <c r="C773" s="58" t="str">
        <f>IFERROR(VLOOKUP(B773 ,INVENTARIO!$B$2:C994,2,0),"")</f>
        <v/>
      </c>
      <c r="D773" s="71"/>
      <c r="E773" s="60"/>
      <c r="F773" s="61" t="str">
        <f t="shared" si="1"/>
        <v/>
      </c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69"/>
      <c r="C774" s="58" t="str">
        <f>IFERROR(VLOOKUP(B774 ,INVENTARIO!$B$2:C994,2,0),"")</f>
        <v/>
      </c>
      <c r="D774" s="71"/>
      <c r="E774" s="60"/>
      <c r="F774" s="61" t="str">
        <f t="shared" si="1"/>
        <v/>
      </c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69"/>
      <c r="C775" s="58" t="str">
        <f>IFERROR(VLOOKUP(B775 ,INVENTARIO!$B$2:C994,2,0),"")</f>
        <v/>
      </c>
      <c r="D775" s="71"/>
      <c r="E775" s="60"/>
      <c r="F775" s="61" t="str">
        <f t="shared" si="1"/>
        <v/>
      </c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69"/>
      <c r="C776" s="58" t="str">
        <f>IFERROR(VLOOKUP(B776 ,INVENTARIO!$B$2:C994,2,0),"")</f>
        <v/>
      </c>
      <c r="D776" s="71"/>
      <c r="E776" s="60"/>
      <c r="F776" s="61" t="str">
        <f t="shared" si="1"/>
        <v/>
      </c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69"/>
      <c r="C777" s="58" t="str">
        <f>IFERROR(VLOOKUP(B777 ,INVENTARIO!$B$2:C994,2,0),"")</f>
        <v/>
      </c>
      <c r="D777" s="71"/>
      <c r="E777" s="60"/>
      <c r="F777" s="61" t="str">
        <f t="shared" si="1"/>
        <v/>
      </c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69"/>
      <c r="C778" s="58" t="str">
        <f>IFERROR(VLOOKUP(B778 ,INVENTARIO!$B$2:C994,2,0),"")</f>
        <v/>
      </c>
      <c r="D778" s="71"/>
      <c r="E778" s="60"/>
      <c r="F778" s="61" t="str">
        <f t="shared" si="1"/>
        <v/>
      </c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69"/>
      <c r="C779" s="58" t="str">
        <f>IFERROR(VLOOKUP(B779 ,INVENTARIO!$B$2:C994,2,0),"")</f>
        <v/>
      </c>
      <c r="D779" s="71"/>
      <c r="E779" s="60"/>
      <c r="F779" s="61" t="str">
        <f t="shared" si="1"/>
        <v/>
      </c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69"/>
      <c r="C780" s="58" t="str">
        <f>IFERROR(VLOOKUP(B780 ,INVENTARIO!$B$2:C994,2,0),"")</f>
        <v/>
      </c>
      <c r="D780" s="71"/>
      <c r="E780" s="60"/>
      <c r="F780" s="61" t="str">
        <f t="shared" si="1"/>
        <v/>
      </c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69"/>
      <c r="C781" s="58" t="str">
        <f>IFERROR(VLOOKUP(B781 ,INVENTARIO!$B$2:C994,2,0),"")</f>
        <v/>
      </c>
      <c r="D781" s="71"/>
      <c r="E781" s="60"/>
      <c r="F781" s="61" t="str">
        <f t="shared" si="1"/>
        <v/>
      </c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69"/>
      <c r="C782" s="58" t="str">
        <f>IFERROR(VLOOKUP(B782 ,INVENTARIO!$B$2:C994,2,0),"")</f>
        <v/>
      </c>
      <c r="D782" s="71"/>
      <c r="E782" s="60"/>
      <c r="F782" s="61" t="str">
        <f t="shared" si="1"/>
        <v/>
      </c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69"/>
      <c r="C783" s="58" t="str">
        <f>IFERROR(VLOOKUP(B783 ,INVENTARIO!$B$2:C994,2,0),"")</f>
        <v/>
      </c>
      <c r="D783" s="71"/>
      <c r="E783" s="60"/>
      <c r="F783" s="61" t="str">
        <f t="shared" si="1"/>
        <v/>
      </c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69"/>
      <c r="C784" s="58" t="str">
        <f>IFERROR(VLOOKUP(B784 ,INVENTARIO!$B$2:C994,2,0),"")</f>
        <v/>
      </c>
      <c r="D784" s="71"/>
      <c r="E784" s="60"/>
      <c r="F784" s="61" t="str">
        <f t="shared" si="1"/>
        <v/>
      </c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69"/>
      <c r="C785" s="58" t="str">
        <f>IFERROR(VLOOKUP(B785 ,INVENTARIO!$B$2:C994,2,0),"")</f>
        <v/>
      </c>
      <c r="D785" s="71"/>
      <c r="E785" s="60"/>
      <c r="F785" s="61" t="str">
        <f t="shared" si="1"/>
        <v/>
      </c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69"/>
      <c r="C786" s="58" t="str">
        <f>IFERROR(VLOOKUP(B786 ,INVENTARIO!$B$2:C994,2,0),"")</f>
        <v/>
      </c>
      <c r="D786" s="71"/>
      <c r="E786" s="60"/>
      <c r="F786" s="61" t="str">
        <f t="shared" si="1"/>
        <v/>
      </c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69"/>
      <c r="C787" s="58" t="str">
        <f>IFERROR(VLOOKUP(B787 ,INVENTARIO!$B$2:C994,2,0),"")</f>
        <v/>
      </c>
      <c r="D787" s="71"/>
      <c r="E787" s="60"/>
      <c r="F787" s="61" t="str">
        <f t="shared" si="1"/>
        <v/>
      </c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69"/>
      <c r="C788" s="58" t="str">
        <f>IFERROR(VLOOKUP(B788 ,INVENTARIO!$B$2:C994,2,0),"")</f>
        <v/>
      </c>
      <c r="D788" s="71"/>
      <c r="E788" s="60"/>
      <c r="F788" s="61" t="str">
        <f t="shared" si="1"/>
        <v/>
      </c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69"/>
      <c r="C789" s="58" t="str">
        <f>IFERROR(VLOOKUP(B789 ,INVENTARIO!$B$2:C994,2,0),"")</f>
        <v/>
      </c>
      <c r="D789" s="71"/>
      <c r="E789" s="60"/>
      <c r="F789" s="61" t="str">
        <f t="shared" si="1"/>
        <v/>
      </c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69"/>
      <c r="C790" s="58" t="str">
        <f>IFERROR(VLOOKUP(B790 ,INVENTARIO!$B$2:C994,2,0),"")</f>
        <v/>
      </c>
      <c r="D790" s="71"/>
      <c r="E790" s="60"/>
      <c r="F790" s="61" t="str">
        <f t="shared" si="1"/>
        <v/>
      </c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69"/>
      <c r="C791" s="58" t="str">
        <f>IFERROR(VLOOKUP(B791 ,INVENTARIO!$B$2:C994,2,0),"")</f>
        <v/>
      </c>
      <c r="D791" s="71"/>
      <c r="E791" s="60"/>
      <c r="F791" s="61" t="str">
        <f t="shared" si="1"/>
        <v/>
      </c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69"/>
      <c r="C792" s="58" t="str">
        <f>IFERROR(VLOOKUP(B792 ,INVENTARIO!$B$2:C994,2,0),"")</f>
        <v/>
      </c>
      <c r="D792" s="71"/>
      <c r="E792" s="60"/>
      <c r="F792" s="61" t="str">
        <f t="shared" si="1"/>
        <v/>
      </c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69"/>
      <c r="C793" s="58" t="str">
        <f>IFERROR(VLOOKUP(B793 ,INVENTARIO!$B$2:C994,2,0),"")</f>
        <v/>
      </c>
      <c r="D793" s="71"/>
      <c r="E793" s="60"/>
      <c r="F793" s="61" t="str">
        <f t="shared" si="1"/>
        <v/>
      </c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69"/>
      <c r="C794" s="58" t="str">
        <f>IFERROR(VLOOKUP(B794 ,INVENTARIO!$B$2:C994,2,0),"")</f>
        <v/>
      </c>
      <c r="D794" s="71"/>
      <c r="E794" s="60"/>
      <c r="F794" s="61" t="str">
        <f t="shared" si="1"/>
        <v/>
      </c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69"/>
      <c r="C795" s="58" t="str">
        <f>IFERROR(VLOOKUP(B795 ,INVENTARIO!$B$2:C994,2,0),"")</f>
        <v/>
      </c>
      <c r="D795" s="71"/>
      <c r="E795" s="60"/>
      <c r="F795" s="61" t="str">
        <f t="shared" si="1"/>
        <v/>
      </c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69"/>
      <c r="C796" s="58" t="str">
        <f>IFERROR(VLOOKUP(B796 ,INVENTARIO!$B$2:C994,2,0),"")</f>
        <v/>
      </c>
      <c r="D796" s="71"/>
      <c r="E796" s="60"/>
      <c r="F796" s="61" t="str">
        <f t="shared" si="1"/>
        <v/>
      </c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69"/>
      <c r="C797" s="58" t="str">
        <f>IFERROR(VLOOKUP(B797 ,INVENTARIO!$B$2:C994,2,0),"")</f>
        <v/>
      </c>
      <c r="D797" s="71"/>
      <c r="E797" s="60"/>
      <c r="F797" s="61" t="str">
        <f t="shared" si="1"/>
        <v/>
      </c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69"/>
      <c r="C798" s="58" t="str">
        <f>IFERROR(VLOOKUP(B798 ,INVENTARIO!$B$2:C994,2,0),"")</f>
        <v/>
      </c>
      <c r="D798" s="71"/>
      <c r="E798" s="60"/>
      <c r="F798" s="61" t="str">
        <f t="shared" si="1"/>
        <v/>
      </c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69"/>
      <c r="C799" s="58" t="str">
        <f>IFERROR(VLOOKUP(B799 ,INVENTARIO!$B$2:C994,2,0),"")</f>
        <v/>
      </c>
      <c r="D799" s="71"/>
      <c r="E799" s="60"/>
      <c r="F799" s="61" t="str">
        <f t="shared" si="1"/>
        <v/>
      </c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69"/>
      <c r="C800" s="58" t="str">
        <f>IFERROR(VLOOKUP(B800 ,INVENTARIO!$B$2:C994,2,0),"")</f>
        <v/>
      </c>
      <c r="D800" s="71"/>
      <c r="E800" s="60"/>
      <c r="F800" s="61" t="str">
        <f t="shared" si="1"/>
        <v/>
      </c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69"/>
      <c r="C801" s="58" t="str">
        <f>IFERROR(VLOOKUP(B801 ,INVENTARIO!$B$2:C994,2,0),"")</f>
        <v/>
      </c>
      <c r="D801" s="71"/>
      <c r="E801" s="60"/>
      <c r="F801" s="61" t="str">
        <f t="shared" si="1"/>
        <v/>
      </c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69"/>
      <c r="C802" s="58" t="str">
        <f>IFERROR(VLOOKUP(B802 ,INVENTARIO!$B$2:C994,2,0),"")</f>
        <v/>
      </c>
      <c r="D802" s="71"/>
      <c r="E802" s="60"/>
      <c r="F802" s="61" t="str">
        <f t="shared" si="1"/>
        <v/>
      </c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69"/>
      <c r="C803" s="58" t="str">
        <f>IFERROR(VLOOKUP(B803 ,INVENTARIO!$B$2:C994,2,0),"")</f>
        <v/>
      </c>
      <c r="D803" s="71"/>
      <c r="E803" s="60"/>
      <c r="F803" s="61" t="str">
        <f t="shared" si="1"/>
        <v/>
      </c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69"/>
      <c r="C804" s="58" t="str">
        <f>IFERROR(VLOOKUP(B804 ,INVENTARIO!$B$2:C994,2,0),"")</f>
        <v/>
      </c>
      <c r="D804" s="71"/>
      <c r="E804" s="60"/>
      <c r="F804" s="61" t="str">
        <f t="shared" si="1"/>
        <v/>
      </c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69"/>
      <c r="C805" s="58" t="str">
        <f>IFERROR(VLOOKUP(B805 ,INVENTARIO!$B$2:C994,2,0),"")</f>
        <v/>
      </c>
      <c r="D805" s="71"/>
      <c r="E805" s="60"/>
      <c r="F805" s="61" t="str">
        <f t="shared" si="1"/>
        <v/>
      </c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69"/>
      <c r="C806" s="58" t="str">
        <f>IFERROR(VLOOKUP(B806 ,INVENTARIO!$B$2:C994,2,0),"")</f>
        <v/>
      </c>
      <c r="D806" s="71"/>
      <c r="E806" s="60"/>
      <c r="F806" s="61" t="str">
        <f t="shared" si="1"/>
        <v/>
      </c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69"/>
      <c r="C807" s="58" t="str">
        <f>IFERROR(VLOOKUP(B807 ,INVENTARIO!$B$2:C994,2,0),"")</f>
        <v/>
      </c>
      <c r="D807" s="71"/>
      <c r="E807" s="60"/>
      <c r="F807" s="61" t="str">
        <f t="shared" si="1"/>
        <v/>
      </c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69"/>
      <c r="C808" s="58" t="str">
        <f>IFERROR(VLOOKUP(B808 ,INVENTARIO!$B$2:C994,2,0),"")</f>
        <v/>
      </c>
      <c r="D808" s="71"/>
      <c r="E808" s="60"/>
      <c r="F808" s="61" t="str">
        <f t="shared" si="1"/>
        <v/>
      </c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69"/>
      <c r="C809" s="58" t="str">
        <f>IFERROR(VLOOKUP(B809 ,INVENTARIO!$B$2:C994,2,0),"")</f>
        <v/>
      </c>
      <c r="D809" s="71"/>
      <c r="E809" s="60"/>
      <c r="F809" s="61" t="str">
        <f t="shared" si="1"/>
        <v/>
      </c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69"/>
      <c r="C810" s="58" t="str">
        <f>IFERROR(VLOOKUP(B810 ,INVENTARIO!$B$2:C994,2,0),"")</f>
        <v/>
      </c>
      <c r="D810" s="71"/>
      <c r="E810" s="60"/>
      <c r="F810" s="61" t="str">
        <f t="shared" si="1"/>
        <v/>
      </c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69"/>
      <c r="C811" s="58" t="str">
        <f>IFERROR(VLOOKUP(B811 ,INVENTARIO!$B$2:C994,2,0),"")</f>
        <v/>
      </c>
      <c r="D811" s="71"/>
      <c r="E811" s="60"/>
      <c r="F811" s="61" t="str">
        <f t="shared" si="1"/>
        <v/>
      </c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69"/>
      <c r="C812" s="58" t="str">
        <f>IFERROR(VLOOKUP(B812 ,INVENTARIO!$B$2:C994,2,0),"")</f>
        <v/>
      </c>
      <c r="D812" s="71"/>
      <c r="E812" s="60"/>
      <c r="F812" s="61" t="str">
        <f t="shared" si="1"/>
        <v/>
      </c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69"/>
      <c r="C813" s="58" t="str">
        <f>IFERROR(VLOOKUP(B813 ,INVENTARIO!$B$2:C994,2,0),"")</f>
        <v/>
      </c>
      <c r="D813" s="71"/>
      <c r="E813" s="60"/>
      <c r="F813" s="61" t="str">
        <f t="shared" si="1"/>
        <v/>
      </c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69"/>
      <c r="C814" s="58" t="str">
        <f>IFERROR(VLOOKUP(B814 ,INVENTARIO!$B$2:C994,2,0),"")</f>
        <v/>
      </c>
      <c r="D814" s="71"/>
      <c r="E814" s="60"/>
      <c r="F814" s="61" t="str">
        <f t="shared" si="1"/>
        <v/>
      </c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69"/>
      <c r="C815" s="58" t="str">
        <f>IFERROR(VLOOKUP(B815 ,INVENTARIO!$B$2:C994,2,0),"")</f>
        <v/>
      </c>
      <c r="D815" s="71"/>
      <c r="E815" s="60"/>
      <c r="F815" s="61" t="str">
        <f t="shared" si="1"/>
        <v/>
      </c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69"/>
      <c r="C816" s="58" t="str">
        <f>IFERROR(VLOOKUP(B816 ,INVENTARIO!$B$2:C994,2,0),"")</f>
        <v/>
      </c>
      <c r="D816" s="71"/>
      <c r="E816" s="60"/>
      <c r="F816" s="61" t="str">
        <f t="shared" si="1"/>
        <v/>
      </c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69"/>
      <c r="C817" s="58" t="str">
        <f>IFERROR(VLOOKUP(B817 ,INVENTARIO!$B$2:C994,2,0),"")</f>
        <v/>
      </c>
      <c r="D817" s="71"/>
      <c r="E817" s="60"/>
      <c r="F817" s="61" t="str">
        <f t="shared" si="1"/>
        <v/>
      </c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69"/>
      <c r="C818" s="58" t="str">
        <f>IFERROR(VLOOKUP(B818 ,INVENTARIO!$B$2:C994,2,0),"")</f>
        <v/>
      </c>
      <c r="D818" s="71"/>
      <c r="E818" s="60"/>
      <c r="F818" s="61" t="str">
        <f t="shared" si="1"/>
        <v/>
      </c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69"/>
      <c r="C819" s="58" t="str">
        <f>IFERROR(VLOOKUP(B819 ,INVENTARIO!$B$2:C994,2,0),"")</f>
        <v/>
      </c>
      <c r="D819" s="71"/>
      <c r="E819" s="60"/>
      <c r="F819" s="61" t="str">
        <f t="shared" si="1"/>
        <v/>
      </c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69"/>
      <c r="C820" s="58" t="str">
        <f>IFERROR(VLOOKUP(B820 ,INVENTARIO!$B$2:C994,2,0),"")</f>
        <v/>
      </c>
      <c r="D820" s="71"/>
      <c r="E820" s="60"/>
      <c r="F820" s="61" t="str">
        <f t="shared" si="1"/>
        <v/>
      </c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69"/>
      <c r="C821" s="58" t="str">
        <f>IFERROR(VLOOKUP(B821 ,INVENTARIO!$B$2:C994,2,0),"")</f>
        <v/>
      </c>
      <c r="D821" s="71"/>
      <c r="E821" s="60"/>
      <c r="F821" s="61" t="str">
        <f t="shared" si="1"/>
        <v/>
      </c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69"/>
      <c r="C822" s="58" t="str">
        <f>IFERROR(VLOOKUP(B822 ,INVENTARIO!$B$2:C994,2,0),"")</f>
        <v/>
      </c>
      <c r="D822" s="71"/>
      <c r="E822" s="60"/>
      <c r="F822" s="61" t="str">
        <f t="shared" si="1"/>
        <v/>
      </c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69"/>
      <c r="C823" s="58" t="str">
        <f>IFERROR(VLOOKUP(B823 ,INVENTARIO!$B$2:C994,2,0),"")</f>
        <v/>
      </c>
      <c r="D823" s="71"/>
      <c r="E823" s="60"/>
      <c r="F823" s="61" t="str">
        <f t="shared" si="1"/>
        <v/>
      </c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69"/>
      <c r="C824" s="58" t="str">
        <f>IFERROR(VLOOKUP(B824 ,INVENTARIO!$B$2:C994,2,0),"")</f>
        <v/>
      </c>
      <c r="D824" s="71"/>
      <c r="E824" s="60"/>
      <c r="F824" s="61" t="str">
        <f t="shared" si="1"/>
        <v/>
      </c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69"/>
      <c r="C825" s="58" t="str">
        <f>IFERROR(VLOOKUP(B825 ,INVENTARIO!$B$2:C994,2,0),"")</f>
        <v/>
      </c>
      <c r="D825" s="71"/>
      <c r="E825" s="60"/>
      <c r="F825" s="61" t="str">
        <f t="shared" si="1"/>
        <v/>
      </c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69"/>
      <c r="C826" s="58" t="str">
        <f>IFERROR(VLOOKUP(B826 ,INVENTARIO!$B$2:C994,2,0),"")</f>
        <v/>
      </c>
      <c r="D826" s="71"/>
      <c r="E826" s="60"/>
      <c r="F826" s="61" t="str">
        <f t="shared" si="1"/>
        <v/>
      </c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69"/>
      <c r="C827" s="58" t="str">
        <f>IFERROR(VLOOKUP(B827 ,INVENTARIO!$B$2:C994,2,0),"")</f>
        <v/>
      </c>
      <c r="D827" s="71"/>
      <c r="E827" s="60"/>
      <c r="F827" s="61" t="str">
        <f t="shared" si="1"/>
        <v/>
      </c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69"/>
      <c r="C828" s="58" t="str">
        <f>IFERROR(VLOOKUP(B828 ,INVENTARIO!$B$2:C994,2,0),"")</f>
        <v/>
      </c>
      <c r="D828" s="71"/>
      <c r="E828" s="60"/>
      <c r="F828" s="61" t="str">
        <f t="shared" si="1"/>
        <v/>
      </c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69"/>
      <c r="C829" s="58" t="str">
        <f>IFERROR(VLOOKUP(B829 ,INVENTARIO!$B$2:C994,2,0),"")</f>
        <v/>
      </c>
      <c r="D829" s="71"/>
      <c r="E829" s="60"/>
      <c r="F829" s="61" t="str">
        <f t="shared" si="1"/>
        <v/>
      </c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69"/>
      <c r="C830" s="58" t="str">
        <f>IFERROR(VLOOKUP(B830 ,INVENTARIO!$B$2:C994,2,0),"")</f>
        <v/>
      </c>
      <c r="D830" s="71"/>
      <c r="E830" s="60"/>
      <c r="F830" s="61" t="str">
        <f t="shared" si="1"/>
        <v/>
      </c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69"/>
      <c r="C831" s="58" t="str">
        <f>IFERROR(VLOOKUP(B831 ,INVENTARIO!$B$2:C994,2,0),"")</f>
        <v/>
      </c>
      <c r="D831" s="71"/>
      <c r="E831" s="60"/>
      <c r="F831" s="61" t="str">
        <f t="shared" si="1"/>
        <v/>
      </c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69"/>
      <c r="C832" s="58" t="str">
        <f>IFERROR(VLOOKUP(B832 ,INVENTARIO!$B$2:C994,2,0),"")</f>
        <v/>
      </c>
      <c r="D832" s="71"/>
      <c r="E832" s="60"/>
      <c r="F832" s="61" t="str">
        <f t="shared" si="1"/>
        <v/>
      </c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69"/>
      <c r="C833" s="58" t="str">
        <f>IFERROR(VLOOKUP(B833 ,INVENTARIO!$B$2:C994,2,0),"")</f>
        <v/>
      </c>
      <c r="D833" s="71"/>
      <c r="E833" s="60"/>
      <c r="F833" s="61" t="str">
        <f t="shared" si="1"/>
        <v/>
      </c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69"/>
      <c r="C834" s="58" t="str">
        <f>IFERROR(VLOOKUP(B834 ,INVENTARIO!$B$2:C994,2,0),"")</f>
        <v/>
      </c>
      <c r="D834" s="71"/>
      <c r="E834" s="60"/>
      <c r="F834" s="61" t="str">
        <f t="shared" si="1"/>
        <v/>
      </c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69"/>
      <c r="C835" s="58" t="str">
        <f>IFERROR(VLOOKUP(B835 ,INVENTARIO!$B$2:C994,2,0),"")</f>
        <v/>
      </c>
      <c r="D835" s="71"/>
      <c r="E835" s="60"/>
      <c r="F835" s="61" t="str">
        <f t="shared" si="1"/>
        <v/>
      </c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69"/>
      <c r="C836" s="58" t="str">
        <f>IFERROR(VLOOKUP(B836 ,INVENTARIO!$B$2:C994,2,0),"")</f>
        <v/>
      </c>
      <c r="D836" s="71"/>
      <c r="E836" s="60"/>
      <c r="F836" s="61" t="str">
        <f t="shared" si="1"/>
        <v/>
      </c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69"/>
      <c r="C837" s="58" t="str">
        <f>IFERROR(VLOOKUP(B837 ,INVENTARIO!$B$2:C994,2,0),"")</f>
        <v/>
      </c>
      <c r="D837" s="71"/>
      <c r="E837" s="60"/>
      <c r="F837" s="61" t="str">
        <f t="shared" si="1"/>
        <v/>
      </c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69"/>
      <c r="C838" s="58" t="str">
        <f>IFERROR(VLOOKUP(B838 ,INVENTARIO!$B$2:C994,2,0),"")</f>
        <v/>
      </c>
      <c r="D838" s="71"/>
      <c r="E838" s="60"/>
      <c r="F838" s="61" t="str">
        <f t="shared" si="1"/>
        <v/>
      </c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69"/>
      <c r="C839" s="58" t="str">
        <f>IFERROR(VLOOKUP(B839 ,INVENTARIO!$B$2:C994,2,0),"")</f>
        <v/>
      </c>
      <c r="D839" s="71"/>
      <c r="E839" s="60"/>
      <c r="F839" s="61" t="str">
        <f t="shared" si="1"/>
        <v/>
      </c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69"/>
      <c r="C840" s="58" t="str">
        <f>IFERROR(VLOOKUP(B840 ,INVENTARIO!$B$2:C994,2,0),"")</f>
        <v/>
      </c>
      <c r="D840" s="71"/>
      <c r="E840" s="60"/>
      <c r="F840" s="61" t="str">
        <f t="shared" si="1"/>
        <v/>
      </c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69"/>
      <c r="C841" s="58" t="str">
        <f>IFERROR(VLOOKUP(B841 ,INVENTARIO!$B$2:C994,2,0),"")</f>
        <v/>
      </c>
      <c r="D841" s="71"/>
      <c r="E841" s="60"/>
      <c r="F841" s="61" t="str">
        <f t="shared" si="1"/>
        <v/>
      </c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69"/>
      <c r="C842" s="58" t="str">
        <f>IFERROR(VLOOKUP(B842 ,INVENTARIO!$B$2:C994,2,0),"")</f>
        <v/>
      </c>
      <c r="D842" s="71"/>
      <c r="E842" s="60"/>
      <c r="F842" s="61" t="str">
        <f t="shared" si="1"/>
        <v/>
      </c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69"/>
      <c r="C843" s="58" t="str">
        <f>IFERROR(VLOOKUP(B843 ,INVENTARIO!$B$2:C994,2,0),"")</f>
        <v/>
      </c>
      <c r="D843" s="71"/>
      <c r="E843" s="60"/>
      <c r="F843" s="61" t="str">
        <f t="shared" si="1"/>
        <v/>
      </c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69"/>
      <c r="C844" s="58" t="str">
        <f>IFERROR(VLOOKUP(B844 ,INVENTARIO!$B$2:C994,2,0),"")</f>
        <v/>
      </c>
      <c r="D844" s="71"/>
      <c r="E844" s="60"/>
      <c r="F844" s="61" t="str">
        <f t="shared" si="1"/>
        <v/>
      </c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69"/>
      <c r="C845" s="58" t="str">
        <f>IFERROR(VLOOKUP(B845 ,INVENTARIO!$B$2:C994,2,0),"")</f>
        <v/>
      </c>
      <c r="D845" s="71"/>
      <c r="E845" s="60"/>
      <c r="F845" s="61" t="str">
        <f t="shared" si="1"/>
        <v/>
      </c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69"/>
      <c r="C846" s="58" t="str">
        <f>IFERROR(VLOOKUP(B846 ,INVENTARIO!$B$2:C994,2,0),"")</f>
        <v/>
      </c>
      <c r="D846" s="71"/>
      <c r="E846" s="60"/>
      <c r="F846" s="61" t="str">
        <f t="shared" si="1"/>
        <v/>
      </c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69"/>
      <c r="C847" s="58" t="str">
        <f>IFERROR(VLOOKUP(B847 ,INVENTARIO!$B$2:C994,2,0),"")</f>
        <v/>
      </c>
      <c r="D847" s="71"/>
      <c r="E847" s="60"/>
      <c r="F847" s="61" t="str">
        <f t="shared" si="1"/>
        <v/>
      </c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69"/>
      <c r="C848" s="58" t="str">
        <f>IFERROR(VLOOKUP(B848 ,INVENTARIO!$B$2:C994,2,0),"")</f>
        <v/>
      </c>
      <c r="D848" s="71"/>
      <c r="E848" s="60"/>
      <c r="F848" s="61" t="str">
        <f t="shared" si="1"/>
        <v/>
      </c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69"/>
      <c r="C849" s="58" t="str">
        <f>IFERROR(VLOOKUP(B849 ,INVENTARIO!$B$2:C994,2,0),"")</f>
        <v/>
      </c>
      <c r="D849" s="71"/>
      <c r="E849" s="60"/>
      <c r="F849" s="61" t="str">
        <f t="shared" si="1"/>
        <v/>
      </c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69"/>
      <c r="C850" s="58" t="str">
        <f>IFERROR(VLOOKUP(B850 ,INVENTARIO!$B$2:C994,2,0),"")</f>
        <v/>
      </c>
      <c r="D850" s="71"/>
      <c r="E850" s="60"/>
      <c r="F850" s="61" t="str">
        <f t="shared" si="1"/>
        <v/>
      </c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69"/>
      <c r="C851" s="58" t="str">
        <f>IFERROR(VLOOKUP(B851 ,INVENTARIO!$B$2:C994,2,0),"")</f>
        <v/>
      </c>
      <c r="D851" s="71"/>
      <c r="E851" s="60"/>
      <c r="F851" s="61" t="str">
        <f t="shared" si="1"/>
        <v/>
      </c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69"/>
      <c r="C852" s="58" t="str">
        <f>IFERROR(VLOOKUP(B852 ,INVENTARIO!$B$2:C994,2,0),"")</f>
        <v/>
      </c>
      <c r="D852" s="71"/>
      <c r="E852" s="60"/>
      <c r="F852" s="61" t="str">
        <f t="shared" si="1"/>
        <v/>
      </c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69"/>
      <c r="C853" s="58" t="str">
        <f>IFERROR(VLOOKUP(B853 ,INVENTARIO!$B$2:C994,2,0),"")</f>
        <v/>
      </c>
      <c r="D853" s="71"/>
      <c r="E853" s="60"/>
      <c r="F853" s="61" t="str">
        <f t="shared" si="1"/>
        <v/>
      </c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69"/>
      <c r="C854" s="58" t="str">
        <f>IFERROR(VLOOKUP(B854 ,INVENTARIO!$B$2:C994,2,0),"")</f>
        <v/>
      </c>
      <c r="D854" s="71"/>
      <c r="E854" s="60"/>
      <c r="F854" s="61" t="str">
        <f t="shared" si="1"/>
        <v/>
      </c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69"/>
      <c r="C855" s="58" t="str">
        <f>IFERROR(VLOOKUP(B855 ,INVENTARIO!$B$2:C994,2,0),"")</f>
        <v/>
      </c>
      <c r="D855" s="71"/>
      <c r="E855" s="60"/>
      <c r="F855" s="61" t="str">
        <f t="shared" si="1"/>
        <v/>
      </c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69"/>
      <c r="C856" s="58" t="str">
        <f>IFERROR(VLOOKUP(B856 ,INVENTARIO!$B$2:C994,2,0),"")</f>
        <v/>
      </c>
      <c r="D856" s="71"/>
      <c r="E856" s="60"/>
      <c r="F856" s="61" t="str">
        <f t="shared" si="1"/>
        <v/>
      </c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69"/>
      <c r="C857" s="58" t="str">
        <f>IFERROR(VLOOKUP(B857 ,INVENTARIO!$B$2:C994,2,0),"")</f>
        <v/>
      </c>
      <c r="D857" s="71"/>
      <c r="E857" s="60"/>
      <c r="F857" s="61" t="str">
        <f t="shared" si="1"/>
        <v/>
      </c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69"/>
      <c r="C858" s="58" t="str">
        <f>IFERROR(VLOOKUP(B858 ,INVENTARIO!$B$2:C994,2,0),"")</f>
        <v/>
      </c>
      <c r="D858" s="71"/>
      <c r="E858" s="60"/>
      <c r="F858" s="61" t="str">
        <f t="shared" si="1"/>
        <v/>
      </c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69"/>
      <c r="C859" s="58" t="str">
        <f>IFERROR(VLOOKUP(B859 ,INVENTARIO!$B$2:C994,2,0),"")</f>
        <v/>
      </c>
      <c r="D859" s="71"/>
      <c r="E859" s="60"/>
      <c r="F859" s="61" t="str">
        <f t="shared" si="1"/>
        <v/>
      </c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69"/>
      <c r="C860" s="58" t="str">
        <f>IFERROR(VLOOKUP(B860 ,INVENTARIO!$B$2:C994,2,0),"")</f>
        <v/>
      </c>
      <c r="D860" s="71"/>
      <c r="E860" s="60"/>
      <c r="F860" s="61" t="str">
        <f t="shared" si="1"/>
        <v/>
      </c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69"/>
      <c r="C861" s="58" t="str">
        <f>IFERROR(VLOOKUP(B861 ,INVENTARIO!$B$2:C994,2,0),"")</f>
        <v/>
      </c>
      <c r="D861" s="71"/>
      <c r="E861" s="60"/>
      <c r="F861" s="61" t="str">
        <f t="shared" si="1"/>
        <v/>
      </c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69"/>
      <c r="C862" s="58" t="str">
        <f>IFERROR(VLOOKUP(B862 ,INVENTARIO!$B$2:C994,2,0),"")</f>
        <v/>
      </c>
      <c r="D862" s="71"/>
      <c r="E862" s="60"/>
      <c r="F862" s="61" t="str">
        <f t="shared" si="1"/>
        <v/>
      </c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69"/>
      <c r="C863" s="58" t="str">
        <f>IFERROR(VLOOKUP(B863 ,INVENTARIO!$B$2:C994,2,0),"")</f>
        <v/>
      </c>
      <c r="D863" s="71"/>
      <c r="E863" s="60"/>
      <c r="F863" s="61" t="str">
        <f t="shared" si="1"/>
        <v/>
      </c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69"/>
      <c r="C864" s="58" t="str">
        <f>IFERROR(VLOOKUP(B864 ,INVENTARIO!$B$2:C994,2,0),"")</f>
        <v/>
      </c>
      <c r="D864" s="71"/>
      <c r="E864" s="60"/>
      <c r="F864" s="61" t="str">
        <f t="shared" si="1"/>
        <v/>
      </c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69"/>
      <c r="C865" s="58" t="str">
        <f>IFERROR(VLOOKUP(B865 ,INVENTARIO!$B$2:C994,2,0),"")</f>
        <v/>
      </c>
      <c r="D865" s="71"/>
      <c r="E865" s="60"/>
      <c r="F865" s="61" t="str">
        <f t="shared" si="1"/>
        <v/>
      </c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69"/>
      <c r="C866" s="58" t="str">
        <f>IFERROR(VLOOKUP(B866 ,INVENTARIO!$B$2:C994,2,0),"")</f>
        <v/>
      </c>
      <c r="D866" s="71"/>
      <c r="E866" s="60"/>
      <c r="F866" s="61" t="str">
        <f t="shared" si="1"/>
        <v/>
      </c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69"/>
      <c r="C867" s="58" t="str">
        <f>IFERROR(VLOOKUP(B867 ,INVENTARIO!$B$2:C994,2,0),"")</f>
        <v/>
      </c>
      <c r="D867" s="71"/>
      <c r="E867" s="60"/>
      <c r="F867" s="61" t="str">
        <f t="shared" si="1"/>
        <v/>
      </c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69"/>
      <c r="C868" s="58" t="str">
        <f>IFERROR(VLOOKUP(B868 ,INVENTARIO!$B$2:C994,2,0),"")</f>
        <v/>
      </c>
      <c r="D868" s="71"/>
      <c r="E868" s="60"/>
      <c r="F868" s="61" t="str">
        <f t="shared" si="1"/>
        <v/>
      </c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69"/>
      <c r="C869" s="58" t="str">
        <f>IFERROR(VLOOKUP(B869 ,INVENTARIO!$B$2:C994,2,0),"")</f>
        <v/>
      </c>
      <c r="D869" s="71"/>
      <c r="E869" s="60"/>
      <c r="F869" s="61" t="str">
        <f t="shared" si="1"/>
        <v/>
      </c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69"/>
      <c r="C870" s="58" t="str">
        <f>IFERROR(VLOOKUP(B870 ,INVENTARIO!$B$2:C994,2,0),"")</f>
        <v/>
      </c>
      <c r="D870" s="71"/>
      <c r="E870" s="60"/>
      <c r="F870" s="61" t="str">
        <f t="shared" si="1"/>
        <v/>
      </c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69"/>
      <c r="C871" s="58" t="str">
        <f>IFERROR(VLOOKUP(B871 ,INVENTARIO!$B$2:C994,2,0),"")</f>
        <v/>
      </c>
      <c r="D871" s="71"/>
      <c r="E871" s="60"/>
      <c r="F871" s="61" t="str">
        <f t="shared" si="1"/>
        <v/>
      </c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69"/>
      <c r="C872" s="58" t="str">
        <f>IFERROR(VLOOKUP(B872 ,INVENTARIO!$B$2:C994,2,0),"")</f>
        <v/>
      </c>
      <c r="D872" s="71"/>
      <c r="E872" s="60"/>
      <c r="F872" s="61" t="str">
        <f t="shared" si="1"/>
        <v/>
      </c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69"/>
      <c r="C873" s="58" t="str">
        <f>IFERROR(VLOOKUP(B873 ,INVENTARIO!$B$2:C994,2,0),"")</f>
        <v/>
      </c>
      <c r="D873" s="71"/>
      <c r="E873" s="60"/>
      <c r="F873" s="61" t="str">
        <f t="shared" si="1"/>
        <v/>
      </c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69"/>
      <c r="C874" s="58" t="str">
        <f>IFERROR(VLOOKUP(B874 ,INVENTARIO!$B$2:C994,2,0),"")</f>
        <v/>
      </c>
      <c r="D874" s="71"/>
      <c r="E874" s="60"/>
      <c r="F874" s="61" t="str">
        <f t="shared" si="1"/>
        <v/>
      </c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69"/>
      <c r="C875" s="58" t="str">
        <f>IFERROR(VLOOKUP(B875 ,INVENTARIO!$B$2:C994,2,0),"")</f>
        <v/>
      </c>
      <c r="D875" s="71"/>
      <c r="E875" s="60"/>
      <c r="F875" s="61" t="str">
        <f t="shared" si="1"/>
        <v/>
      </c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69"/>
      <c r="C876" s="58" t="str">
        <f>IFERROR(VLOOKUP(B876 ,INVENTARIO!$B$2:C994,2,0),"")</f>
        <v/>
      </c>
      <c r="D876" s="71"/>
      <c r="E876" s="60"/>
      <c r="F876" s="61" t="str">
        <f t="shared" si="1"/>
        <v/>
      </c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69"/>
      <c r="C877" s="58" t="str">
        <f>IFERROR(VLOOKUP(B877 ,INVENTARIO!$B$2:C994,2,0),"")</f>
        <v/>
      </c>
      <c r="D877" s="71"/>
      <c r="E877" s="60"/>
      <c r="F877" s="61" t="str">
        <f t="shared" si="1"/>
        <v/>
      </c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69"/>
      <c r="C878" s="58" t="str">
        <f>IFERROR(VLOOKUP(B878 ,INVENTARIO!$B$2:C994,2,0),"")</f>
        <v/>
      </c>
      <c r="D878" s="71"/>
      <c r="E878" s="60"/>
      <c r="F878" s="61" t="str">
        <f t="shared" si="1"/>
        <v/>
      </c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69"/>
      <c r="C879" s="58" t="str">
        <f>IFERROR(VLOOKUP(B879 ,INVENTARIO!$B$2:C994,2,0),"")</f>
        <v/>
      </c>
      <c r="D879" s="71"/>
      <c r="E879" s="60"/>
      <c r="F879" s="61" t="str">
        <f t="shared" si="1"/>
        <v/>
      </c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69"/>
      <c r="C880" s="58" t="str">
        <f>IFERROR(VLOOKUP(B880 ,INVENTARIO!$B$2:C994,2,0),"")</f>
        <v/>
      </c>
      <c r="D880" s="71"/>
      <c r="E880" s="60"/>
      <c r="F880" s="61" t="str">
        <f t="shared" si="1"/>
        <v/>
      </c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69"/>
      <c r="C881" s="58" t="str">
        <f>IFERROR(VLOOKUP(B881 ,INVENTARIO!$B$2:C994,2,0),"")</f>
        <v/>
      </c>
      <c r="D881" s="71"/>
      <c r="E881" s="60"/>
      <c r="F881" s="61" t="str">
        <f t="shared" si="1"/>
        <v/>
      </c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69"/>
      <c r="C882" s="58" t="str">
        <f>IFERROR(VLOOKUP(B882 ,INVENTARIO!$B$2:C994,2,0),"")</f>
        <v/>
      </c>
      <c r="D882" s="71"/>
      <c r="E882" s="60"/>
      <c r="F882" s="61" t="str">
        <f t="shared" si="1"/>
        <v/>
      </c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69"/>
      <c r="C883" s="58" t="str">
        <f>IFERROR(VLOOKUP(B883 ,INVENTARIO!$B$2:C994,2,0),"")</f>
        <v/>
      </c>
      <c r="D883" s="71"/>
      <c r="E883" s="60"/>
      <c r="F883" s="61" t="str">
        <f t="shared" si="1"/>
        <v/>
      </c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69"/>
      <c r="C884" s="58" t="str">
        <f>IFERROR(VLOOKUP(B884 ,INVENTARIO!$B$2:C994,2,0),"")</f>
        <v/>
      </c>
      <c r="D884" s="71"/>
      <c r="E884" s="60"/>
      <c r="F884" s="61" t="str">
        <f t="shared" si="1"/>
        <v/>
      </c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69"/>
      <c r="C885" s="58" t="str">
        <f>IFERROR(VLOOKUP(B885 ,INVENTARIO!$B$2:C994,2,0),"")</f>
        <v/>
      </c>
      <c r="D885" s="71"/>
      <c r="E885" s="60"/>
      <c r="F885" s="61" t="str">
        <f t="shared" si="1"/>
        <v/>
      </c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69"/>
      <c r="C886" s="58" t="str">
        <f>IFERROR(VLOOKUP(B886 ,INVENTARIO!$B$2:C994,2,0),"")</f>
        <v/>
      </c>
      <c r="D886" s="71"/>
      <c r="E886" s="60"/>
      <c r="F886" s="61" t="str">
        <f t="shared" si="1"/>
        <v/>
      </c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69"/>
      <c r="C887" s="58" t="str">
        <f>IFERROR(VLOOKUP(B887 ,INVENTARIO!$B$2:C994,2,0),"")</f>
        <v/>
      </c>
      <c r="D887" s="71"/>
      <c r="E887" s="60"/>
      <c r="F887" s="61" t="str">
        <f t="shared" si="1"/>
        <v/>
      </c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69"/>
      <c r="C888" s="58" t="str">
        <f>IFERROR(VLOOKUP(B888 ,INVENTARIO!$B$2:C994,2,0),"")</f>
        <v/>
      </c>
      <c r="D888" s="71"/>
      <c r="E888" s="60"/>
      <c r="F888" s="61" t="str">
        <f t="shared" si="1"/>
        <v/>
      </c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69"/>
      <c r="C889" s="58" t="str">
        <f>IFERROR(VLOOKUP(B889 ,INVENTARIO!$B$2:C994,2,0),"")</f>
        <v/>
      </c>
      <c r="D889" s="71"/>
      <c r="E889" s="60"/>
      <c r="F889" s="61" t="str">
        <f t="shared" si="1"/>
        <v/>
      </c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69"/>
      <c r="C890" s="58" t="str">
        <f>IFERROR(VLOOKUP(B890 ,INVENTARIO!$B$2:C994,2,0),"")</f>
        <v/>
      </c>
      <c r="D890" s="71"/>
      <c r="E890" s="60"/>
      <c r="F890" s="61" t="str">
        <f t="shared" si="1"/>
        <v/>
      </c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69"/>
      <c r="C891" s="58" t="str">
        <f>IFERROR(VLOOKUP(B891 ,INVENTARIO!$B$2:C994,2,0),"")</f>
        <v/>
      </c>
      <c r="D891" s="71"/>
      <c r="E891" s="60"/>
      <c r="F891" s="61" t="str">
        <f t="shared" si="1"/>
        <v/>
      </c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69"/>
      <c r="C892" s="58" t="str">
        <f>IFERROR(VLOOKUP(B892 ,INVENTARIO!$B$2:C994,2,0),"")</f>
        <v/>
      </c>
      <c r="D892" s="71"/>
      <c r="E892" s="60"/>
      <c r="F892" s="61" t="str">
        <f t="shared" si="1"/>
        <v/>
      </c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69"/>
      <c r="C893" s="58" t="str">
        <f>IFERROR(VLOOKUP(B893 ,INVENTARIO!$B$2:C994,2,0),"")</f>
        <v/>
      </c>
      <c r="D893" s="71"/>
      <c r="E893" s="60"/>
      <c r="F893" s="61" t="str">
        <f t="shared" si="1"/>
        <v/>
      </c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69"/>
      <c r="C894" s="58" t="str">
        <f>IFERROR(VLOOKUP(B894 ,INVENTARIO!$B$2:C994,2,0),"")</f>
        <v/>
      </c>
      <c r="D894" s="71"/>
      <c r="E894" s="60"/>
      <c r="F894" s="61" t="str">
        <f t="shared" si="1"/>
        <v/>
      </c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69"/>
      <c r="C895" s="58" t="str">
        <f>IFERROR(VLOOKUP(B895 ,INVENTARIO!$B$2:C994,2,0),"")</f>
        <v/>
      </c>
      <c r="D895" s="71"/>
      <c r="E895" s="60"/>
      <c r="F895" s="61" t="str">
        <f t="shared" si="1"/>
        <v/>
      </c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69"/>
      <c r="C896" s="58" t="str">
        <f>IFERROR(VLOOKUP(B896 ,INVENTARIO!$B$2:C994,2,0),"")</f>
        <v/>
      </c>
      <c r="D896" s="71"/>
      <c r="E896" s="60"/>
      <c r="F896" s="61" t="str">
        <f t="shared" si="1"/>
        <v/>
      </c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69"/>
      <c r="C897" s="58" t="str">
        <f>IFERROR(VLOOKUP(B897 ,INVENTARIO!$B$2:C994,2,0),"")</f>
        <v/>
      </c>
      <c r="D897" s="71"/>
      <c r="E897" s="60"/>
      <c r="F897" s="61" t="str">
        <f t="shared" si="1"/>
        <v/>
      </c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69"/>
      <c r="C898" s="58" t="str">
        <f>IFERROR(VLOOKUP(B898 ,INVENTARIO!$B$2:C994,2,0),"")</f>
        <v/>
      </c>
      <c r="D898" s="71"/>
      <c r="E898" s="60"/>
      <c r="F898" s="61" t="str">
        <f t="shared" si="1"/>
        <v/>
      </c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69"/>
      <c r="C899" s="58" t="str">
        <f>IFERROR(VLOOKUP(B899 ,INVENTARIO!$B$2:C994,2,0),"")</f>
        <v/>
      </c>
      <c r="D899" s="71"/>
      <c r="E899" s="60"/>
      <c r="F899" s="61" t="str">
        <f t="shared" si="1"/>
        <v/>
      </c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69"/>
      <c r="C900" s="58" t="str">
        <f>IFERROR(VLOOKUP(B900 ,INVENTARIO!$B$2:C994,2,0),"")</f>
        <v/>
      </c>
      <c r="D900" s="71"/>
      <c r="E900" s="60"/>
      <c r="F900" s="61" t="str">
        <f t="shared" si="1"/>
        <v/>
      </c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69"/>
      <c r="C901" s="58" t="str">
        <f>IFERROR(VLOOKUP(B901 ,INVENTARIO!$B$2:C994,2,0),"")</f>
        <v/>
      </c>
      <c r="D901" s="71"/>
      <c r="E901" s="60"/>
      <c r="F901" s="61" t="str">
        <f t="shared" si="1"/>
        <v/>
      </c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69"/>
      <c r="C902" s="58" t="str">
        <f>IFERROR(VLOOKUP(B902 ,INVENTARIO!$B$2:C994,2,0),"")</f>
        <v/>
      </c>
      <c r="D902" s="71"/>
      <c r="E902" s="60"/>
      <c r="F902" s="61" t="str">
        <f t="shared" si="1"/>
        <v/>
      </c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69"/>
      <c r="C903" s="58" t="str">
        <f>IFERROR(VLOOKUP(B903 ,INVENTARIO!$B$2:C994,2,0),"")</f>
        <v/>
      </c>
      <c r="D903" s="71"/>
      <c r="E903" s="60"/>
      <c r="F903" s="61" t="str">
        <f t="shared" si="1"/>
        <v/>
      </c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69"/>
      <c r="C904" s="58" t="str">
        <f>IFERROR(VLOOKUP(B904 ,INVENTARIO!$B$2:C994,2,0),"")</f>
        <v/>
      </c>
      <c r="D904" s="71"/>
      <c r="E904" s="60"/>
      <c r="F904" s="61" t="str">
        <f t="shared" si="1"/>
        <v/>
      </c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69"/>
      <c r="C905" s="58" t="str">
        <f>IFERROR(VLOOKUP(B905 ,INVENTARIO!$B$2:C994,2,0),"")</f>
        <v/>
      </c>
      <c r="D905" s="71"/>
      <c r="E905" s="60"/>
      <c r="F905" s="61" t="str">
        <f t="shared" si="1"/>
        <v/>
      </c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69"/>
      <c r="C906" s="58" t="str">
        <f>IFERROR(VLOOKUP(B906 ,INVENTARIO!$B$2:C994,2,0),"")</f>
        <v/>
      </c>
      <c r="D906" s="71"/>
      <c r="E906" s="60"/>
      <c r="F906" s="61" t="str">
        <f t="shared" si="1"/>
        <v/>
      </c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69"/>
      <c r="C907" s="58" t="str">
        <f>IFERROR(VLOOKUP(B907 ,INVENTARIO!$B$2:C994,2,0),"")</f>
        <v/>
      </c>
      <c r="D907" s="71"/>
      <c r="E907" s="60"/>
      <c r="F907" s="61" t="str">
        <f t="shared" si="1"/>
        <v/>
      </c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69"/>
      <c r="C908" s="58" t="str">
        <f>IFERROR(VLOOKUP(B908 ,INVENTARIO!$B$2:C994,2,0),"")</f>
        <v/>
      </c>
      <c r="D908" s="71"/>
      <c r="E908" s="60"/>
      <c r="F908" s="61" t="str">
        <f t="shared" si="1"/>
        <v/>
      </c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69"/>
      <c r="C909" s="58" t="str">
        <f>IFERROR(VLOOKUP(B909 ,INVENTARIO!$B$2:C994,2,0),"")</f>
        <v/>
      </c>
      <c r="D909" s="71"/>
      <c r="E909" s="60"/>
      <c r="F909" s="61" t="str">
        <f t="shared" si="1"/>
        <v/>
      </c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69"/>
      <c r="C910" s="58" t="str">
        <f>IFERROR(VLOOKUP(B910 ,INVENTARIO!$B$2:C994,2,0),"")</f>
        <v/>
      </c>
      <c r="D910" s="71"/>
      <c r="E910" s="60"/>
      <c r="F910" s="61" t="str">
        <f t="shared" si="1"/>
        <v/>
      </c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69"/>
      <c r="C911" s="58" t="str">
        <f>IFERROR(VLOOKUP(B911 ,INVENTARIO!$B$2:C994,2,0),"")</f>
        <v/>
      </c>
      <c r="D911" s="71"/>
      <c r="E911" s="60"/>
      <c r="F911" s="61" t="str">
        <f t="shared" si="1"/>
        <v/>
      </c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69"/>
      <c r="C912" s="58" t="str">
        <f>IFERROR(VLOOKUP(B912 ,INVENTARIO!$B$2:C994,2,0),"")</f>
        <v/>
      </c>
      <c r="D912" s="71"/>
      <c r="E912" s="60"/>
      <c r="F912" s="61" t="str">
        <f t="shared" si="1"/>
        <v/>
      </c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69"/>
      <c r="C913" s="58" t="str">
        <f>IFERROR(VLOOKUP(B913 ,INVENTARIO!$B$2:C994,2,0),"")</f>
        <v/>
      </c>
      <c r="D913" s="71"/>
      <c r="E913" s="60"/>
      <c r="F913" s="61" t="str">
        <f t="shared" si="1"/>
        <v/>
      </c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69"/>
      <c r="C914" s="58" t="str">
        <f>IFERROR(VLOOKUP(B914 ,INVENTARIO!$B$2:C994,2,0),"")</f>
        <v/>
      </c>
      <c r="D914" s="71"/>
      <c r="E914" s="60"/>
      <c r="F914" s="61" t="str">
        <f t="shared" si="1"/>
        <v/>
      </c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69"/>
      <c r="C915" s="58" t="str">
        <f>IFERROR(VLOOKUP(B915 ,INVENTARIO!$B$2:C994,2,0),"")</f>
        <v/>
      </c>
      <c r="D915" s="71"/>
      <c r="E915" s="60"/>
      <c r="F915" s="61" t="str">
        <f t="shared" si="1"/>
        <v/>
      </c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69"/>
      <c r="C916" s="58" t="str">
        <f>IFERROR(VLOOKUP(B916 ,INVENTARIO!$B$2:C994,2,0),"")</f>
        <v/>
      </c>
      <c r="D916" s="71"/>
      <c r="E916" s="60"/>
      <c r="F916" s="61" t="str">
        <f t="shared" si="1"/>
        <v/>
      </c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69"/>
      <c r="C917" s="58" t="str">
        <f>IFERROR(VLOOKUP(B917 ,INVENTARIO!$B$2:C994,2,0),"")</f>
        <v/>
      </c>
      <c r="D917" s="71"/>
      <c r="E917" s="60"/>
      <c r="F917" s="61" t="str">
        <f t="shared" si="1"/>
        <v/>
      </c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69"/>
      <c r="C918" s="58" t="str">
        <f>IFERROR(VLOOKUP(B918 ,INVENTARIO!$B$2:C994,2,0),"")</f>
        <v/>
      </c>
      <c r="D918" s="71"/>
      <c r="E918" s="60"/>
      <c r="F918" s="61" t="str">
        <f t="shared" si="1"/>
        <v/>
      </c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69"/>
      <c r="C919" s="58" t="str">
        <f>IFERROR(VLOOKUP(B919 ,INVENTARIO!$B$2:C994,2,0),"")</f>
        <v/>
      </c>
      <c r="D919" s="71"/>
      <c r="E919" s="60"/>
      <c r="F919" s="61" t="str">
        <f t="shared" si="1"/>
        <v/>
      </c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69"/>
      <c r="C920" s="58" t="str">
        <f>IFERROR(VLOOKUP(B920 ,INVENTARIO!$B$2:C994,2,0),"")</f>
        <v/>
      </c>
      <c r="D920" s="71"/>
      <c r="E920" s="60"/>
      <c r="F920" s="61" t="str">
        <f t="shared" si="1"/>
        <v/>
      </c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69"/>
      <c r="C921" s="58" t="str">
        <f>IFERROR(VLOOKUP(B921 ,INVENTARIO!$B$2:C994,2,0),"")</f>
        <v/>
      </c>
      <c r="D921" s="71"/>
      <c r="E921" s="60"/>
      <c r="F921" s="61" t="str">
        <f t="shared" si="1"/>
        <v/>
      </c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69"/>
      <c r="C922" s="58" t="str">
        <f>IFERROR(VLOOKUP(B922 ,INVENTARIO!$B$2:C994,2,0),"")</f>
        <v/>
      </c>
      <c r="D922" s="71"/>
      <c r="E922" s="60"/>
      <c r="F922" s="61" t="str">
        <f t="shared" si="1"/>
        <v/>
      </c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69"/>
      <c r="C923" s="58" t="str">
        <f>IFERROR(VLOOKUP(B923 ,INVENTARIO!$B$2:C994,2,0),"")</f>
        <v/>
      </c>
      <c r="D923" s="71"/>
      <c r="E923" s="60"/>
      <c r="F923" s="61" t="str">
        <f t="shared" si="1"/>
        <v/>
      </c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69"/>
      <c r="C924" s="58" t="str">
        <f>IFERROR(VLOOKUP(B924 ,INVENTARIO!$B$2:C994,2,0),"")</f>
        <v/>
      </c>
      <c r="D924" s="71"/>
      <c r="E924" s="60"/>
      <c r="F924" s="61" t="str">
        <f t="shared" si="1"/>
        <v/>
      </c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69"/>
      <c r="C925" s="58" t="str">
        <f>IFERROR(VLOOKUP(B925 ,INVENTARIO!$B$2:C994,2,0),"")</f>
        <v/>
      </c>
      <c r="D925" s="71"/>
      <c r="E925" s="60"/>
      <c r="F925" s="61" t="str">
        <f t="shared" si="1"/>
        <v/>
      </c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69"/>
      <c r="C926" s="58" t="str">
        <f>IFERROR(VLOOKUP(B926 ,INVENTARIO!$B$2:C994,2,0),"")</f>
        <v/>
      </c>
      <c r="D926" s="71"/>
      <c r="E926" s="60"/>
      <c r="F926" s="61" t="str">
        <f t="shared" si="1"/>
        <v/>
      </c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69"/>
      <c r="C927" s="58" t="str">
        <f>IFERROR(VLOOKUP(B927 ,INVENTARIO!$B$2:C994,2,0),"")</f>
        <v/>
      </c>
      <c r="D927" s="71"/>
      <c r="E927" s="60"/>
      <c r="F927" s="61" t="str">
        <f t="shared" si="1"/>
        <v/>
      </c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69"/>
      <c r="C928" s="58" t="str">
        <f>IFERROR(VLOOKUP(B928 ,INVENTARIO!$B$2:C994,2,0),"")</f>
        <v/>
      </c>
      <c r="D928" s="71"/>
      <c r="E928" s="60"/>
      <c r="F928" s="61" t="str">
        <f t="shared" si="1"/>
        <v/>
      </c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69"/>
      <c r="C929" s="58" t="str">
        <f>IFERROR(VLOOKUP(B929 ,INVENTARIO!$B$2:C994,2,0),"")</f>
        <v/>
      </c>
      <c r="D929" s="71"/>
      <c r="E929" s="60"/>
      <c r="F929" s="61" t="str">
        <f t="shared" si="1"/>
        <v/>
      </c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69"/>
      <c r="C930" s="58" t="str">
        <f>IFERROR(VLOOKUP(B930 ,INVENTARIO!$B$2:C994,2,0),"")</f>
        <v/>
      </c>
      <c r="D930" s="71"/>
      <c r="E930" s="60"/>
      <c r="F930" s="61" t="str">
        <f t="shared" si="1"/>
        <v/>
      </c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69"/>
      <c r="C931" s="58" t="str">
        <f>IFERROR(VLOOKUP(B931 ,INVENTARIO!$B$2:C994,2,0),"")</f>
        <v/>
      </c>
      <c r="D931" s="71"/>
      <c r="E931" s="60"/>
      <c r="F931" s="61" t="str">
        <f t="shared" si="1"/>
        <v/>
      </c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69"/>
      <c r="C932" s="58" t="str">
        <f>IFERROR(VLOOKUP(B932 ,INVENTARIO!$B$2:C994,2,0),"")</f>
        <v/>
      </c>
      <c r="D932" s="71"/>
      <c r="E932" s="60"/>
      <c r="F932" s="61" t="str">
        <f t="shared" si="1"/>
        <v/>
      </c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69"/>
      <c r="C933" s="58" t="str">
        <f>IFERROR(VLOOKUP(B933 ,INVENTARIO!$B$2:C994,2,0),"")</f>
        <v/>
      </c>
      <c r="D933" s="71"/>
      <c r="E933" s="60"/>
      <c r="F933" s="61" t="str">
        <f t="shared" si="1"/>
        <v/>
      </c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69"/>
      <c r="C934" s="58" t="str">
        <f>IFERROR(VLOOKUP(B934 ,INVENTARIO!$B$2:C994,2,0),"")</f>
        <v/>
      </c>
      <c r="D934" s="71"/>
      <c r="E934" s="60"/>
      <c r="F934" s="61" t="str">
        <f t="shared" si="1"/>
        <v/>
      </c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69"/>
      <c r="C935" s="58" t="str">
        <f>IFERROR(VLOOKUP(B935 ,INVENTARIO!$B$2:C994,2,0),"")</f>
        <v/>
      </c>
      <c r="D935" s="71"/>
      <c r="E935" s="60"/>
      <c r="F935" s="61" t="str">
        <f t="shared" si="1"/>
        <v/>
      </c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69"/>
      <c r="C936" s="58" t="str">
        <f>IFERROR(VLOOKUP(B936 ,INVENTARIO!$B$2:C994,2,0),"")</f>
        <v/>
      </c>
      <c r="D936" s="71"/>
      <c r="E936" s="60"/>
      <c r="F936" s="61" t="str">
        <f t="shared" si="1"/>
        <v/>
      </c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69"/>
      <c r="C937" s="58" t="str">
        <f>IFERROR(VLOOKUP(B937 ,INVENTARIO!$B$2:C994,2,0),"")</f>
        <v/>
      </c>
      <c r="D937" s="71"/>
      <c r="E937" s="60"/>
      <c r="F937" s="61" t="str">
        <f t="shared" si="1"/>
        <v/>
      </c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69"/>
      <c r="C938" s="58" t="str">
        <f>IFERROR(VLOOKUP(B938 ,INVENTARIO!$B$2:C994,2,0),"")</f>
        <v/>
      </c>
      <c r="D938" s="71"/>
      <c r="E938" s="60"/>
      <c r="F938" s="61" t="str">
        <f t="shared" si="1"/>
        <v/>
      </c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69"/>
      <c r="C939" s="58" t="str">
        <f>IFERROR(VLOOKUP(B939 ,INVENTARIO!$B$2:C994,2,0),"")</f>
        <v/>
      </c>
      <c r="D939" s="71"/>
      <c r="E939" s="60"/>
      <c r="F939" s="61" t="str">
        <f t="shared" si="1"/>
        <v/>
      </c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69"/>
      <c r="C940" s="58" t="str">
        <f>IFERROR(VLOOKUP(B940 ,INVENTARIO!$B$2:C994,2,0),"")</f>
        <v/>
      </c>
      <c r="D940" s="71"/>
      <c r="E940" s="60"/>
      <c r="F940" s="61" t="str">
        <f t="shared" si="1"/>
        <v/>
      </c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69"/>
      <c r="C941" s="58" t="str">
        <f>IFERROR(VLOOKUP(B941 ,INVENTARIO!$B$2:C994,2,0),"")</f>
        <v/>
      </c>
      <c r="D941" s="71"/>
      <c r="E941" s="60"/>
      <c r="F941" s="61" t="str">
        <f t="shared" si="1"/>
        <v/>
      </c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69"/>
      <c r="C942" s="58" t="str">
        <f>IFERROR(VLOOKUP(B942 ,INVENTARIO!$B$2:C994,2,0),"")</f>
        <v/>
      </c>
      <c r="D942" s="71"/>
      <c r="E942" s="60"/>
      <c r="F942" s="61" t="str">
        <f t="shared" si="1"/>
        <v/>
      </c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69"/>
      <c r="C943" s="58" t="str">
        <f>IFERROR(VLOOKUP(B943 ,INVENTARIO!$B$2:C994,2,0),"")</f>
        <v/>
      </c>
      <c r="D943" s="71"/>
      <c r="E943" s="60"/>
      <c r="F943" s="61" t="str">
        <f t="shared" si="1"/>
        <v/>
      </c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69"/>
      <c r="C944" s="58" t="str">
        <f>IFERROR(VLOOKUP(B944 ,INVENTARIO!$B$2:C994,2,0),"")</f>
        <v/>
      </c>
      <c r="D944" s="71"/>
      <c r="E944" s="60"/>
      <c r="F944" s="61" t="str">
        <f t="shared" si="1"/>
        <v/>
      </c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69"/>
      <c r="C945" s="58" t="str">
        <f>IFERROR(VLOOKUP(B945 ,INVENTARIO!$B$2:C994,2,0),"")</f>
        <v/>
      </c>
      <c r="D945" s="71"/>
      <c r="E945" s="60"/>
      <c r="F945" s="61" t="str">
        <f t="shared" si="1"/>
        <v/>
      </c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69"/>
      <c r="C946" s="58" t="str">
        <f>IFERROR(VLOOKUP(B946 ,INVENTARIO!$B$2:C994,2,0),"")</f>
        <v/>
      </c>
      <c r="D946" s="71"/>
      <c r="E946" s="60"/>
      <c r="F946" s="61" t="str">
        <f t="shared" si="1"/>
        <v/>
      </c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69"/>
      <c r="C947" s="58" t="str">
        <f>IFERROR(VLOOKUP(B947 ,INVENTARIO!$B$2:C994,2,0),"")</f>
        <v/>
      </c>
      <c r="D947" s="71"/>
      <c r="E947" s="60"/>
      <c r="F947" s="61" t="str">
        <f t="shared" si="1"/>
        <v/>
      </c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69"/>
      <c r="C948" s="58" t="str">
        <f>IFERROR(VLOOKUP(B948 ,INVENTARIO!$B$2:C994,2,0),"")</f>
        <v/>
      </c>
      <c r="D948" s="71"/>
      <c r="E948" s="60"/>
      <c r="F948" s="61" t="str">
        <f t="shared" si="1"/>
        <v/>
      </c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69"/>
      <c r="C949" s="58" t="str">
        <f>IFERROR(VLOOKUP(B949 ,INVENTARIO!$B$2:C994,2,0),"")</f>
        <v/>
      </c>
      <c r="D949" s="71"/>
      <c r="E949" s="60"/>
      <c r="F949" s="61" t="str">
        <f t="shared" si="1"/>
        <v/>
      </c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69"/>
      <c r="C950" s="58" t="str">
        <f>IFERROR(VLOOKUP(B950 ,INVENTARIO!$B$2:C994,2,0),"")</f>
        <v/>
      </c>
      <c r="D950" s="71"/>
      <c r="E950" s="60"/>
      <c r="F950" s="61" t="str">
        <f t="shared" si="1"/>
        <v/>
      </c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69"/>
      <c r="C951" s="58" t="str">
        <f>IFERROR(VLOOKUP(B951 ,INVENTARIO!$B$2:C994,2,0),"")</f>
        <v/>
      </c>
      <c r="D951" s="71"/>
      <c r="E951" s="60"/>
      <c r="F951" s="61" t="str">
        <f t="shared" si="1"/>
        <v/>
      </c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69"/>
      <c r="C952" s="58" t="str">
        <f>IFERROR(VLOOKUP(B952 ,INVENTARIO!$B$2:C994,2,0),"")</f>
        <v/>
      </c>
      <c r="D952" s="71"/>
      <c r="E952" s="60"/>
      <c r="F952" s="61" t="str">
        <f t="shared" si="1"/>
        <v/>
      </c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69"/>
      <c r="C953" s="58" t="str">
        <f>IFERROR(VLOOKUP(B953 ,INVENTARIO!$B$2:C994,2,0),"")</f>
        <v/>
      </c>
      <c r="D953" s="71"/>
      <c r="E953" s="60"/>
      <c r="F953" s="61" t="str">
        <f t="shared" si="1"/>
        <v/>
      </c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69"/>
      <c r="C954" s="58" t="str">
        <f>IFERROR(VLOOKUP(B954 ,INVENTARIO!$B$2:C994,2,0),"")</f>
        <v/>
      </c>
      <c r="D954" s="71"/>
      <c r="E954" s="60"/>
      <c r="F954" s="61" t="str">
        <f t="shared" si="1"/>
        <v/>
      </c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69"/>
      <c r="C955" s="58" t="str">
        <f>IFERROR(VLOOKUP(B955 ,INVENTARIO!$B$2:C994,2,0),"")</f>
        <v/>
      </c>
      <c r="D955" s="71"/>
      <c r="E955" s="60"/>
      <c r="F955" s="61" t="str">
        <f t="shared" si="1"/>
        <v/>
      </c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69"/>
      <c r="C956" s="58" t="str">
        <f>IFERROR(VLOOKUP(B956 ,INVENTARIO!$B$2:C994,2,0),"")</f>
        <v/>
      </c>
      <c r="D956" s="71"/>
      <c r="E956" s="60"/>
      <c r="F956" s="61" t="str">
        <f t="shared" si="1"/>
        <v/>
      </c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69"/>
      <c r="C957" s="58" t="str">
        <f>IFERROR(VLOOKUP(B957 ,INVENTARIO!$B$2:C994,2,0),"")</f>
        <v/>
      </c>
      <c r="D957" s="71"/>
      <c r="E957" s="60"/>
      <c r="F957" s="61" t="str">
        <f t="shared" si="1"/>
        <v/>
      </c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69"/>
      <c r="C958" s="58" t="str">
        <f>IFERROR(VLOOKUP(B958 ,INVENTARIO!$B$2:C994,2,0),"")</f>
        <v/>
      </c>
      <c r="D958" s="71"/>
      <c r="E958" s="60"/>
      <c r="F958" s="61" t="str">
        <f t="shared" si="1"/>
        <v/>
      </c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69"/>
      <c r="C959" s="58" t="str">
        <f>IFERROR(VLOOKUP(B959 ,INVENTARIO!$B$2:C994,2,0),"")</f>
        <v/>
      </c>
      <c r="D959" s="71"/>
      <c r="E959" s="60"/>
      <c r="F959" s="61" t="str">
        <f t="shared" si="1"/>
        <v/>
      </c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69"/>
      <c r="C960" s="58" t="str">
        <f>IFERROR(VLOOKUP(B960 ,INVENTARIO!$B$2:C994,2,0),"")</f>
        <v/>
      </c>
      <c r="D960" s="71"/>
      <c r="E960" s="60"/>
      <c r="F960" s="61" t="str">
        <f t="shared" si="1"/>
        <v/>
      </c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69"/>
      <c r="C961" s="58" t="str">
        <f>IFERROR(VLOOKUP(B961 ,INVENTARIO!$B$2:C994,2,0),"")</f>
        <v/>
      </c>
      <c r="D961" s="71"/>
      <c r="E961" s="60"/>
      <c r="F961" s="61" t="str">
        <f t="shared" si="1"/>
        <v/>
      </c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69"/>
      <c r="C962" s="58" t="str">
        <f>IFERROR(VLOOKUP(B962 ,INVENTARIO!$B$2:C994,2,0),"")</f>
        <v/>
      </c>
      <c r="D962" s="71"/>
      <c r="E962" s="60"/>
      <c r="F962" s="61" t="str">
        <f t="shared" si="1"/>
        <v/>
      </c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69"/>
      <c r="C963" s="58" t="str">
        <f>IFERROR(VLOOKUP(B963 ,INVENTARIO!$B$2:C994,2,0),"")</f>
        <v/>
      </c>
      <c r="D963" s="71"/>
      <c r="E963" s="60"/>
      <c r="F963" s="61" t="str">
        <f t="shared" si="1"/>
        <v/>
      </c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69"/>
      <c r="C964" s="58" t="str">
        <f>IFERROR(VLOOKUP(B964 ,INVENTARIO!$B$2:C994,2,0),"")</f>
        <v/>
      </c>
      <c r="D964" s="71"/>
      <c r="E964" s="60"/>
      <c r="F964" s="61" t="str">
        <f t="shared" si="1"/>
        <v/>
      </c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69"/>
      <c r="C965" s="58" t="str">
        <f>IFERROR(VLOOKUP(B965 ,INVENTARIO!$B$2:C994,2,0),"")</f>
        <v/>
      </c>
      <c r="D965" s="71"/>
      <c r="E965" s="60"/>
      <c r="F965" s="61" t="str">
        <f t="shared" si="1"/>
        <v/>
      </c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69"/>
      <c r="C966" s="58" t="str">
        <f>IFERROR(VLOOKUP(B966 ,INVENTARIO!$B$2:C994,2,0),"")</f>
        <v/>
      </c>
      <c r="D966" s="71"/>
      <c r="E966" s="60"/>
      <c r="F966" s="61" t="str">
        <f t="shared" si="1"/>
        <v/>
      </c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69"/>
      <c r="C967" s="58" t="str">
        <f>IFERROR(VLOOKUP(B967 ,INVENTARIO!$B$2:C994,2,0),"")</f>
        <v/>
      </c>
      <c r="D967" s="71"/>
      <c r="E967" s="60"/>
      <c r="F967" s="61" t="str">
        <f t="shared" si="1"/>
        <v/>
      </c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69"/>
      <c r="C968" s="58" t="str">
        <f>IFERROR(VLOOKUP(B968 ,INVENTARIO!$B$2:C994,2,0),"")</f>
        <v/>
      </c>
      <c r="D968" s="71"/>
      <c r="E968" s="60"/>
      <c r="F968" s="61" t="str">
        <f t="shared" si="1"/>
        <v/>
      </c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69"/>
      <c r="C969" s="58" t="str">
        <f>IFERROR(VLOOKUP(B969 ,INVENTARIO!$B$2:C994,2,0),"")</f>
        <v/>
      </c>
      <c r="D969" s="71"/>
      <c r="E969" s="60"/>
      <c r="F969" s="61" t="str">
        <f t="shared" si="1"/>
        <v/>
      </c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69"/>
      <c r="C970" s="58" t="str">
        <f>IFERROR(VLOOKUP(B970 ,INVENTARIO!$B$2:C994,2,0),"")</f>
        <v/>
      </c>
      <c r="D970" s="71"/>
      <c r="E970" s="60"/>
      <c r="F970" s="61" t="str">
        <f t="shared" si="1"/>
        <v/>
      </c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69"/>
      <c r="C971" s="58" t="str">
        <f>IFERROR(VLOOKUP(B971 ,INVENTARIO!$B$2:C994,2,0),"")</f>
        <v/>
      </c>
      <c r="D971" s="71"/>
      <c r="E971" s="60"/>
      <c r="F971" s="61" t="str">
        <f t="shared" si="1"/>
        <v/>
      </c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69"/>
      <c r="C972" s="58" t="str">
        <f>IFERROR(VLOOKUP(B972 ,INVENTARIO!$B$2:C994,2,0),"")</f>
        <v/>
      </c>
      <c r="D972" s="71"/>
      <c r="E972" s="60"/>
      <c r="F972" s="61" t="str">
        <f t="shared" si="1"/>
        <v/>
      </c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69"/>
      <c r="C973" s="58" t="str">
        <f>IFERROR(VLOOKUP(B973 ,INVENTARIO!$B$2:C994,2,0),"")</f>
        <v/>
      </c>
      <c r="D973" s="71"/>
      <c r="E973" s="60"/>
      <c r="F973" s="61" t="str">
        <f t="shared" si="1"/>
        <v/>
      </c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69"/>
      <c r="C974" s="58" t="str">
        <f>IFERROR(VLOOKUP(B974 ,INVENTARIO!$B$2:C994,2,0),"")</f>
        <v/>
      </c>
      <c r="D974" s="71"/>
      <c r="E974" s="60"/>
      <c r="F974" s="61" t="str">
        <f t="shared" si="1"/>
        <v/>
      </c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69"/>
      <c r="C975" s="58" t="str">
        <f>IFERROR(VLOOKUP(B975 ,INVENTARIO!$B$2:C994,2,0),"")</f>
        <v/>
      </c>
      <c r="D975" s="71"/>
      <c r="E975" s="60"/>
      <c r="F975" s="61" t="str">
        <f t="shared" si="1"/>
        <v/>
      </c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69"/>
      <c r="C976" s="58" t="str">
        <f>IFERROR(VLOOKUP(B976 ,INVENTARIO!$B$2:C994,2,0),"")</f>
        <v/>
      </c>
      <c r="D976" s="71"/>
      <c r="E976" s="60"/>
      <c r="F976" s="61" t="str">
        <f t="shared" si="1"/>
        <v/>
      </c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69"/>
      <c r="C977" s="58" t="str">
        <f>IFERROR(VLOOKUP(B977 ,INVENTARIO!$B$2:C994,2,0),"")</f>
        <v/>
      </c>
      <c r="D977" s="71"/>
      <c r="E977" s="60"/>
      <c r="F977" s="61" t="str">
        <f t="shared" si="1"/>
        <v/>
      </c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69"/>
      <c r="C978" s="58" t="str">
        <f>IFERROR(VLOOKUP(B978 ,INVENTARIO!$B$2:C994,2,0),"")</f>
        <v/>
      </c>
      <c r="D978" s="71"/>
      <c r="E978" s="60"/>
      <c r="F978" s="61" t="str">
        <f t="shared" si="1"/>
        <v/>
      </c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69"/>
      <c r="C979" s="58" t="str">
        <f>IFERROR(VLOOKUP(B979 ,INVENTARIO!$B$2:C994,2,0),"")</f>
        <v/>
      </c>
      <c r="D979" s="71"/>
      <c r="E979" s="60"/>
      <c r="F979" s="61" t="str">
        <f t="shared" si="1"/>
        <v/>
      </c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69"/>
      <c r="C980" s="58" t="str">
        <f>IFERROR(VLOOKUP(B980 ,INVENTARIO!$B$2:C994,2,0),"")</f>
        <v/>
      </c>
      <c r="D980" s="71"/>
      <c r="E980" s="60"/>
      <c r="F980" s="61" t="str">
        <f t="shared" si="1"/>
        <v/>
      </c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69"/>
      <c r="C981" s="58" t="str">
        <f>IFERROR(VLOOKUP(B981 ,INVENTARIO!$B$2:C994,2,0),"")</f>
        <v/>
      </c>
      <c r="D981" s="71"/>
      <c r="E981" s="60"/>
      <c r="F981" s="61" t="str">
        <f t="shared" si="1"/>
        <v/>
      </c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69"/>
      <c r="C982" s="58" t="str">
        <f>IFERROR(VLOOKUP(B982 ,INVENTARIO!$B$2:C994,2,0),"")</f>
        <v/>
      </c>
      <c r="D982" s="71"/>
      <c r="E982" s="60"/>
      <c r="F982" s="61" t="str">
        <f t="shared" si="1"/>
        <v/>
      </c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69"/>
      <c r="C983" s="58" t="str">
        <f>IFERROR(VLOOKUP(B983 ,INVENTARIO!$B$2:C994,2,0),"")</f>
        <v/>
      </c>
      <c r="D983" s="71"/>
      <c r="E983" s="60"/>
      <c r="F983" s="61" t="str">
        <f t="shared" si="1"/>
        <v/>
      </c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69"/>
      <c r="C984" s="58" t="str">
        <f>IFERROR(VLOOKUP(B984 ,INVENTARIO!$B$2:C994,2,0),"")</f>
        <v/>
      </c>
      <c r="D984" s="71"/>
      <c r="E984" s="60"/>
      <c r="F984" s="61" t="str">
        <f t="shared" si="1"/>
        <v/>
      </c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69"/>
      <c r="C985" s="58" t="str">
        <f>IFERROR(VLOOKUP(B985 ,INVENTARIO!$B$2:C994,2,0),"")</f>
        <v/>
      </c>
      <c r="D985" s="71"/>
      <c r="E985" s="60"/>
      <c r="F985" s="61" t="str">
        <f t="shared" si="1"/>
        <v/>
      </c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69"/>
      <c r="C986" s="58" t="str">
        <f>IFERROR(VLOOKUP(B986 ,INVENTARIO!$B$2:C994,2,0),"")</f>
        <v/>
      </c>
      <c r="D986" s="71"/>
      <c r="E986" s="60"/>
      <c r="F986" s="61" t="str">
        <f t="shared" si="1"/>
        <v/>
      </c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69"/>
      <c r="C987" s="58" t="str">
        <f>IFERROR(VLOOKUP(B987 ,INVENTARIO!$B$2:C994,2,0),"")</f>
        <v/>
      </c>
      <c r="D987" s="71"/>
      <c r="E987" s="60"/>
      <c r="F987" s="61" t="str">
        <f t="shared" si="1"/>
        <v/>
      </c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69"/>
      <c r="C988" s="58" t="str">
        <f>IFERROR(VLOOKUP(B988 ,INVENTARIO!$B$2:C994,2,0),"")</f>
        <v/>
      </c>
      <c r="D988" s="71"/>
      <c r="E988" s="60"/>
      <c r="F988" s="61" t="str">
        <f t="shared" si="1"/>
        <v/>
      </c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69"/>
      <c r="C989" s="58" t="str">
        <f>IFERROR(VLOOKUP(B989 ,INVENTARIO!$B$2:C994,2,0),"")</f>
        <v/>
      </c>
      <c r="D989" s="71"/>
      <c r="E989" s="60"/>
      <c r="F989" s="61" t="str">
        <f t="shared" si="1"/>
        <v/>
      </c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69"/>
      <c r="C990" s="58" t="str">
        <f>IFERROR(VLOOKUP(B990 ,INVENTARIO!$B$2:C994,2,0),"")</f>
        <v/>
      </c>
      <c r="D990" s="71"/>
      <c r="E990" s="60"/>
      <c r="F990" s="61" t="str">
        <f t="shared" si="1"/>
        <v/>
      </c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69"/>
      <c r="C991" s="58" t="str">
        <f>IFERROR(VLOOKUP(B991 ,INVENTARIO!$B$2:C994,2,0),"")</f>
        <v/>
      </c>
      <c r="D991" s="71"/>
      <c r="E991" s="60"/>
      <c r="F991" s="61" t="str">
        <f t="shared" si="1"/>
        <v/>
      </c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69"/>
      <c r="C992" s="58" t="str">
        <f>IFERROR(VLOOKUP(B992 ,INVENTARIO!$B$2:C994,2,0),"")</f>
        <v/>
      </c>
      <c r="D992" s="71"/>
      <c r="E992" s="60"/>
      <c r="F992" s="61" t="str">
        <f t="shared" si="1"/>
        <v/>
      </c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69"/>
      <c r="C993" s="58" t="str">
        <f>IFERROR(VLOOKUP(B993 ,INVENTARIO!$B$2:C994,2,0),"")</f>
        <v/>
      </c>
      <c r="D993" s="71"/>
      <c r="E993" s="60"/>
      <c r="F993" s="61" t="str">
        <f t="shared" si="1"/>
        <v/>
      </c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69"/>
      <c r="C994" s="58" t="str">
        <f>IFERROR(VLOOKUP(B994 ,INVENTARIO!$B$2:C994,2,0),"")</f>
        <v/>
      </c>
      <c r="D994" s="71"/>
      <c r="E994" s="60"/>
      <c r="F994" s="61" t="str">
        <f t="shared" si="1"/>
        <v/>
      </c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</sheetData>
  <dataValidations>
    <dataValidation type="list" allowBlank="1" showErrorMessage="1" sqref="B3:B994">
      <formula1>INVENTARIO!$B$3:$B$1060</formula1>
    </dataValidation>
    <dataValidation type="custom" allowBlank="1" showDropDown="1" showErrorMessage="1" sqref="F3:F994">
      <formula1>OR(NOT(ISERROR(DATEVALUE(F3))), AND(ISNUMBER(F3), LEFT(CELL("format", F3))="D"))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49.25"/>
    <col customWidth="1" min="4" max="4" width="13.25"/>
    <col customWidth="1" min="5" max="5" width="14.5"/>
    <col customWidth="1" min="6" max="6" width="18.38"/>
    <col customWidth="1" min="7" max="7" width="13.13"/>
  </cols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3"/>
      <c r="B2" s="72" t="s">
        <v>1</v>
      </c>
      <c r="C2" s="73" t="s">
        <v>1880</v>
      </c>
      <c r="D2" s="74" t="s">
        <v>1934</v>
      </c>
      <c r="E2" s="74" t="s">
        <v>1935</v>
      </c>
      <c r="F2" s="73" t="s">
        <v>1883</v>
      </c>
      <c r="G2" s="75" t="s">
        <v>1936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3"/>
      <c r="B3" s="52" t="s">
        <v>1937</v>
      </c>
      <c r="C3" s="53"/>
      <c r="D3" s="54">
        <v>8.0</v>
      </c>
      <c r="E3" s="76"/>
      <c r="F3" s="56">
        <f t="shared" ref="F3:F67" si="1">IFS(B3="","",F3&lt;&gt;"",F3,TRUE,NOW())</f>
        <v>45670.57832</v>
      </c>
      <c r="G3" s="76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57" t="s">
        <v>352</v>
      </c>
      <c r="C4" s="58" t="str">
        <f>IFERROR(VLOOKUP(B4 ,INVENTARIO!$B$2:C996,2,0),"")</f>
        <v>P211</v>
      </c>
      <c r="D4" s="59">
        <v>1.0</v>
      </c>
      <c r="E4" s="71"/>
      <c r="F4" s="61">
        <f t="shared" si="1"/>
        <v>45678.87349</v>
      </c>
      <c r="G4" s="71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57" t="s">
        <v>294</v>
      </c>
      <c r="C5" s="58" t="str">
        <f>IFERROR(VLOOKUP(B5 ,INVENTARIO!$B$2:C996,2,0),"")</f>
        <v>6205-2RST/C3</v>
      </c>
      <c r="D5" s="59">
        <v>2.0</v>
      </c>
      <c r="E5" s="71"/>
      <c r="F5" s="61">
        <f t="shared" si="1"/>
        <v>45680.55692</v>
      </c>
      <c r="G5" s="71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57" t="s">
        <v>1938</v>
      </c>
      <c r="C6" s="58" t="str">
        <f>IFERROR(VLOOKUP(B6 ,INVENTARIO!$B$2:C996,2,0),"")</f>
        <v/>
      </c>
      <c r="D6" s="59">
        <v>2.0</v>
      </c>
      <c r="E6" s="71"/>
      <c r="F6" s="61">
        <f t="shared" si="1"/>
        <v>45680.59041</v>
      </c>
      <c r="G6" s="71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57" t="s">
        <v>287</v>
      </c>
      <c r="C7" s="58" t="str">
        <f>IFERROR(VLOOKUP(B7 ,INVENTARIO!$B$2:C996,2,0),"")</f>
        <v>6203 2RST/C3</v>
      </c>
      <c r="D7" s="59">
        <v>1.0</v>
      </c>
      <c r="E7" s="71"/>
      <c r="F7" s="61">
        <f t="shared" si="1"/>
        <v>45680.59395</v>
      </c>
      <c r="G7" s="71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57" t="s">
        <v>110</v>
      </c>
      <c r="C8" s="58" t="str">
        <f>IFERROR(VLOOKUP(B8 ,INVENTARIO!$B$2:C996,2,0),"")</f>
        <v>UC204D1</v>
      </c>
      <c r="D8" s="59">
        <v>1.0</v>
      </c>
      <c r="E8" s="71"/>
      <c r="F8" s="61">
        <f t="shared" si="1"/>
        <v>45680.80504</v>
      </c>
      <c r="G8" s="71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57" t="s">
        <v>339</v>
      </c>
      <c r="C9" s="77" t="s">
        <v>1939</v>
      </c>
      <c r="D9" s="59">
        <v>2.0</v>
      </c>
      <c r="E9" s="71"/>
      <c r="F9" s="61">
        <f t="shared" si="1"/>
        <v>45680.80566</v>
      </c>
      <c r="G9" s="71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57" t="s">
        <v>122</v>
      </c>
      <c r="C10" s="58" t="str">
        <f>IFERROR(VLOOKUP(B10 ,INVENTARIO!$B$2:C996,2,0),"")</f>
        <v>UC205</v>
      </c>
      <c r="D10" s="59">
        <v>1.0</v>
      </c>
      <c r="E10" s="71"/>
      <c r="F10" s="61">
        <f t="shared" si="1"/>
        <v>45694.68459</v>
      </c>
      <c r="G10" s="71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57" t="s">
        <v>1607</v>
      </c>
      <c r="C11" s="58" t="str">
        <f>IFERROR(VLOOKUP(B11 ,INVENTARIO!$B$2:C996,2,0),"")</f>
        <v>35-47-7</v>
      </c>
      <c r="D11" s="71"/>
      <c r="E11" s="71"/>
      <c r="F11" s="61">
        <f t="shared" si="1"/>
        <v>45695.67643</v>
      </c>
      <c r="G11" s="71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57" t="s">
        <v>110</v>
      </c>
      <c r="C12" s="58" t="str">
        <f>IFERROR(VLOOKUP(B12 ,INVENTARIO!$B$2:C996,2,0),"")</f>
        <v>UC204D1</v>
      </c>
      <c r="D12" s="59">
        <v>1.0</v>
      </c>
      <c r="E12" s="71"/>
      <c r="F12" s="61">
        <f t="shared" si="1"/>
        <v>45702.36369</v>
      </c>
      <c r="G12" s="71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3"/>
      <c r="B13" s="57" t="s">
        <v>110</v>
      </c>
      <c r="C13" s="58" t="str">
        <f>IFERROR(VLOOKUP(B13 ,INVENTARIO!$B$2:C996,2,0),"")</f>
        <v>UC204D1</v>
      </c>
      <c r="D13" s="59">
        <v>2.0</v>
      </c>
      <c r="E13" s="71"/>
      <c r="F13" s="61">
        <f t="shared" si="1"/>
        <v>45707.33335</v>
      </c>
      <c r="G13" s="71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3"/>
      <c r="B14" s="57" t="s">
        <v>339</v>
      </c>
      <c r="C14" s="58">
        <f>IFERROR(VLOOKUP(B14 ,INVENTARIO!$B$2:C996,2,0),"")</f>
        <v>6903</v>
      </c>
      <c r="D14" s="59">
        <v>2.0</v>
      </c>
      <c r="E14" s="71"/>
      <c r="F14" s="61">
        <f t="shared" si="1"/>
        <v>45707.33728</v>
      </c>
      <c r="G14" s="71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3"/>
      <c r="B15" s="57" t="s">
        <v>1889</v>
      </c>
      <c r="C15" s="58" t="str">
        <f>IFERROR(VLOOKUP(B15 ,INVENTARIO!$B$2:C996,2,0),"")</f>
        <v/>
      </c>
      <c r="D15" s="59">
        <v>2.0</v>
      </c>
      <c r="E15" s="71"/>
      <c r="F15" s="61">
        <f t="shared" si="1"/>
        <v>45713.36063</v>
      </c>
      <c r="G15" s="71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3"/>
      <c r="B16" s="57" t="s">
        <v>193</v>
      </c>
      <c r="C16" s="58" t="str">
        <f>IFERROR(VLOOKUP(B16 ,INVENTARIO!$B$2:C996,2,0),"")</f>
        <v>1621DCTNTG18</v>
      </c>
      <c r="D16" s="59">
        <v>4.0</v>
      </c>
      <c r="E16" s="71"/>
      <c r="F16" s="61">
        <f t="shared" si="1"/>
        <v>45714.54817</v>
      </c>
      <c r="G16" s="71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3"/>
      <c r="B17" s="57" t="s">
        <v>298</v>
      </c>
      <c r="C17" s="58" t="str">
        <f>IFERROR(VLOOKUP(B17 ,INVENTARIO!$B$2:C996,2,0),"")</f>
        <v>6206LLUC3 6206 LLUC3/2AS</v>
      </c>
      <c r="D17" s="59">
        <v>1.0</v>
      </c>
      <c r="E17" s="71"/>
      <c r="F17" s="61">
        <f t="shared" si="1"/>
        <v>45714.55</v>
      </c>
      <c r="G17" s="71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3"/>
      <c r="B18" s="57" t="s">
        <v>306</v>
      </c>
      <c r="C18" s="58" t="str">
        <f>IFERROR(VLOOKUP(B18 ,INVENTARIO!$B$2:C996,2,0),"")</f>
        <v>6209LLUC3 6209LLUC3/2AS</v>
      </c>
      <c r="D18" s="59">
        <v>1.0</v>
      </c>
      <c r="E18" s="71"/>
      <c r="F18" s="61">
        <f t="shared" si="1"/>
        <v>45717.84328</v>
      </c>
      <c r="G18" s="71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3"/>
      <c r="B19" s="57" t="s">
        <v>1921</v>
      </c>
      <c r="C19" s="58" t="str">
        <f>IFERROR(VLOOKUP(B19 ,INVENTARIO!$B$2:C996,2,0),"")</f>
        <v/>
      </c>
      <c r="D19" s="59">
        <v>1.0</v>
      </c>
      <c r="E19" s="71"/>
      <c r="F19" s="61">
        <f t="shared" si="1"/>
        <v>45718.33472</v>
      </c>
      <c r="G19" s="71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3"/>
      <c r="B20" s="57" t="s">
        <v>248</v>
      </c>
      <c r="C20" s="58" t="str">
        <f>IFERROR(VLOOKUP(B20 ,INVENTARIO!$B$2:C996,2,0),"")</f>
        <v>6004-2RST/C3</v>
      </c>
      <c r="D20" s="59">
        <v>2.0</v>
      </c>
      <c r="E20" s="71"/>
      <c r="F20" s="61">
        <f t="shared" si="1"/>
        <v>45719.26412</v>
      </c>
      <c r="G20" s="71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3"/>
      <c r="B21" s="57" t="s">
        <v>253</v>
      </c>
      <c r="C21" s="58" t="str">
        <f>IFERROR(VLOOKUP(B21 ,INVENTARIO!$B$2:C996,2,0),"")</f>
        <v>6005LLUC3/ 6005LLUC3/2AS</v>
      </c>
      <c r="D21" s="59">
        <v>6.0</v>
      </c>
      <c r="E21" s="71"/>
      <c r="F21" s="61">
        <f t="shared" si="1"/>
        <v>45719.26442</v>
      </c>
      <c r="G21" s="71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3"/>
      <c r="B22" s="57" t="s">
        <v>1587</v>
      </c>
      <c r="C22" s="58" t="str">
        <f>IFERROR(VLOOKUP(B22 ,INVENTARIO!$B$2:C996,2,0),"")</f>
        <v>CORREA DENTADA 240XL Transferencia</v>
      </c>
      <c r="D22" s="59">
        <v>1.0</v>
      </c>
      <c r="E22" s="71"/>
      <c r="F22" s="61">
        <f t="shared" si="1"/>
        <v>45719.26499</v>
      </c>
      <c r="G22" s="71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3"/>
      <c r="B23" s="57" t="s">
        <v>1574</v>
      </c>
      <c r="C23" s="58" t="str">
        <f>IFERROR(VLOOKUP(B23 ,INVENTARIO!$B$2:C996,2,0),"")</f>
        <v>Correas B-47</v>
      </c>
      <c r="D23" s="59">
        <v>2.0</v>
      </c>
      <c r="E23" s="71"/>
      <c r="F23" s="61">
        <f t="shared" si="1"/>
        <v>45719.26553</v>
      </c>
      <c r="G23" s="71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3"/>
      <c r="B24" s="57" t="s">
        <v>1468</v>
      </c>
      <c r="C24" s="58" t="str">
        <f>IFERROR(VLOOKUP(B24 ,INVENTARIO!$B$2:C996,2,0),"")</f>
        <v/>
      </c>
      <c r="D24" s="59">
        <v>2.0</v>
      </c>
      <c r="E24" s="71"/>
      <c r="F24" s="61">
        <f t="shared" si="1"/>
        <v>45719.64227</v>
      </c>
      <c r="G24" s="71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3"/>
      <c r="B25" s="57" t="s">
        <v>272</v>
      </c>
      <c r="C25" s="58" t="str">
        <f>IFERROR(VLOOKUP(B25 ,INVENTARIO!$B$2:C996,2,0),"")</f>
        <v>6201LLUC3/2RS</v>
      </c>
      <c r="D25" s="59">
        <v>1.0</v>
      </c>
      <c r="E25" s="71"/>
      <c r="F25" s="61">
        <f t="shared" si="1"/>
        <v>45723.51952</v>
      </c>
      <c r="G25" s="71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3"/>
      <c r="B26" s="57" t="s">
        <v>246</v>
      </c>
      <c r="C26" s="58" t="str">
        <f>IFERROR(VLOOKUP(B26 ,INVENTARIO!$B$2:C996,2,0),"")</f>
        <v/>
      </c>
      <c r="D26" s="59">
        <v>1.0</v>
      </c>
      <c r="E26" s="71"/>
      <c r="F26" s="61">
        <f t="shared" si="1"/>
        <v>45723.52118</v>
      </c>
      <c r="G26" s="71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57" t="s">
        <v>1860</v>
      </c>
      <c r="C27" s="58" t="str">
        <f>IFERROR(VLOOKUP(B2),"")</f>
        <v/>
      </c>
      <c r="D27" s="59">
        <v>2.0</v>
      </c>
      <c r="E27" s="71"/>
      <c r="F27" s="61">
        <f t="shared" si="1"/>
        <v>45724.44867</v>
      </c>
      <c r="G27" s="71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57" t="s">
        <v>1858</v>
      </c>
      <c r="C28" s="58" t="str">
        <f>IFERROR(VLOOKUP(B28 ,INVENTARIO!$B$2:C996,2,0),"")</f>
        <v>filtro regulador con manometro </v>
      </c>
      <c r="D28" s="59">
        <v>1.0</v>
      </c>
      <c r="E28" s="71"/>
      <c r="F28" s="61">
        <f t="shared" si="1"/>
        <v>45724.45019</v>
      </c>
      <c r="G28" s="71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57" t="s">
        <v>314</v>
      </c>
      <c r="C29" s="58" t="str">
        <f>IFERROR(VLOOKUP(B29 ,INVENTARIO!$B$2:C996,2,0),"")</f>
        <v>6304/2RS-C3</v>
      </c>
      <c r="D29" s="59">
        <v>1.0</v>
      </c>
      <c r="E29" s="71"/>
      <c r="F29" s="61">
        <f t="shared" si="1"/>
        <v>45727.50595</v>
      </c>
      <c r="G29" s="71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57" t="s">
        <v>323</v>
      </c>
      <c r="C30" s="58" t="str">
        <f>IFERROR(VLOOKUP(B30 ,INVENTARIO!$B$2:C996,2,0),"")</f>
        <v>6800LLU</v>
      </c>
      <c r="D30" s="59">
        <v>2.0</v>
      </c>
      <c r="E30" s="71"/>
      <c r="F30" s="61">
        <f t="shared" si="1"/>
        <v>45728.58344</v>
      </c>
      <c r="G30" s="71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57" t="s">
        <v>1454</v>
      </c>
      <c r="C31" s="58" t="str">
        <f>IFERROR(VLOOKUP(B31 ,INVENTARIO!$B$2:C996,2,0),"")</f>
        <v>DBH 8233 / 45-65-10</v>
      </c>
      <c r="D31" s="59">
        <v>2.0</v>
      </c>
      <c r="E31" s="71"/>
      <c r="F31" s="61">
        <f t="shared" si="1"/>
        <v>45729.66522</v>
      </c>
      <c r="G31" s="7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57" t="s">
        <v>244</v>
      </c>
      <c r="C32" s="58" t="str">
        <f>IFERROR(VLOOKUP(B32 ,INVENTARIO!$B$2:C996,2,0),"")</f>
        <v>6003 LLU/C3 - 17X35X10</v>
      </c>
      <c r="D32" s="59">
        <v>4.0</v>
      </c>
      <c r="E32" s="71"/>
      <c r="F32" s="61">
        <f t="shared" si="1"/>
        <v>45731.2836</v>
      </c>
      <c r="G32" s="71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57" t="s">
        <v>318</v>
      </c>
      <c r="C33" s="58" t="str">
        <f>IFERROR(VLOOKUP(B33 ,INVENTARIO!$B$2:C996,2,0),"")</f>
        <v>6307 2RS</v>
      </c>
      <c r="D33" s="59">
        <v>2.0</v>
      </c>
      <c r="E33" s="71"/>
      <c r="F33" s="61">
        <f t="shared" si="1"/>
        <v>45733.43798</v>
      </c>
      <c r="G33" s="71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57" t="s">
        <v>122</v>
      </c>
      <c r="C34" s="58" t="str">
        <f>IFERROR(VLOOKUP(B34 ,INVENTARIO!$B$2:C996,2,0),"")</f>
        <v>UC205</v>
      </c>
      <c r="D34" s="59">
        <v>2.0</v>
      </c>
      <c r="E34" s="71"/>
      <c r="F34" s="61">
        <f t="shared" si="1"/>
        <v>45734.44772</v>
      </c>
      <c r="G34" s="71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57" t="s">
        <v>1604</v>
      </c>
      <c r="C35" s="58" t="str">
        <f>IFERROR(VLOOKUP(B35 ,INVENTARIO!$B$2:C996,2,0),"")</f>
        <v>24-42-8</v>
      </c>
      <c r="D35" s="59">
        <v>2.0</v>
      </c>
      <c r="E35" s="71"/>
      <c r="F35" s="61">
        <f t="shared" si="1"/>
        <v>45734.45598</v>
      </c>
      <c r="G35" s="71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57" t="s">
        <v>110</v>
      </c>
      <c r="C36" s="58" t="str">
        <f>IFERROR(VLOOKUP(B36 ,INVENTARIO!$B$2:C996,2,0),"")</f>
        <v>UC204D1</v>
      </c>
      <c r="D36" s="59">
        <v>2.0</v>
      </c>
      <c r="E36" s="71"/>
      <c r="F36" s="61">
        <f t="shared" si="1"/>
        <v>45735.68815</v>
      </c>
      <c r="G36" s="71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57" t="s">
        <v>272</v>
      </c>
      <c r="C37" s="58" t="str">
        <f>IFERROR(VLOOKUP(B37 ,INVENTARIO!$B$2:C996,2,0),"")</f>
        <v>6201LLUC3/2RS</v>
      </c>
      <c r="D37" s="59">
        <v>2.0</v>
      </c>
      <c r="E37" s="71"/>
      <c r="F37" s="61">
        <f t="shared" si="1"/>
        <v>45736.41343</v>
      </c>
      <c r="G37" s="71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57" t="s">
        <v>1587</v>
      </c>
      <c r="C38" s="58" t="str">
        <f>IFERROR(VLOOKUP(B38 ,INVENTARIO!$B$2:C996,2,0),"")</f>
        <v>CORREA DENTADA 240XL Transferencia</v>
      </c>
      <c r="D38" s="59">
        <v>6.0</v>
      </c>
      <c r="E38" s="71"/>
      <c r="F38" s="61">
        <f t="shared" si="1"/>
        <v>45736.42974</v>
      </c>
      <c r="G38" s="71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57" t="s">
        <v>110</v>
      </c>
      <c r="C39" s="58" t="str">
        <f>IFERROR(VLOOKUP(B39 ,INVENTARIO!$B$2:C996,2,0),"")</f>
        <v>UC204D1</v>
      </c>
      <c r="D39" s="59">
        <v>2.0</v>
      </c>
      <c r="E39" s="71"/>
      <c r="F39" s="61">
        <f t="shared" si="1"/>
        <v>45737.57581</v>
      </c>
      <c r="G39" s="71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57" t="s">
        <v>489</v>
      </c>
      <c r="C40" s="58" t="str">
        <f>IFERROR(VLOOKUP(B40 ,INVENTARIO!$B$2:C996,2,0),"")</f>
        <v>R-7,5 Nuevo</v>
      </c>
      <c r="D40" s="59">
        <v>1.0</v>
      </c>
      <c r="E40" s="71"/>
      <c r="F40" s="61">
        <f t="shared" si="1"/>
        <v>45737.6176</v>
      </c>
      <c r="G40" s="71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57" t="s">
        <v>1458</v>
      </c>
      <c r="C41" s="58" t="str">
        <f>IFERROR(VLOOKUP(B41 ,INVENTARIO!$B$2:C996,2,0),"")</f>
        <v>RET-45-75-8</v>
      </c>
      <c r="D41" s="59">
        <v>1.0</v>
      </c>
      <c r="E41" s="71"/>
      <c r="F41" s="61">
        <f t="shared" si="1"/>
        <v>45737.88227</v>
      </c>
      <c r="G41" s="71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69"/>
      <c r="C42" s="77" t="s">
        <v>1940</v>
      </c>
      <c r="D42" s="59">
        <v>1.0</v>
      </c>
      <c r="E42" s="71"/>
      <c r="F42" s="61" t="str">
        <f t="shared" si="1"/>
        <v/>
      </c>
      <c r="G42" s="71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57" t="s">
        <v>122</v>
      </c>
      <c r="C43" s="58" t="str">
        <f>IFERROR(VLOOKUP(B43 ,INVENTARIO!$B$2:C996,2,0),"")</f>
        <v>UC205</v>
      </c>
      <c r="D43" s="59">
        <v>1.0</v>
      </c>
      <c r="E43" s="71"/>
      <c r="F43" s="61">
        <f t="shared" si="1"/>
        <v>45741.60607</v>
      </c>
      <c r="G43" s="71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57" t="s">
        <v>746</v>
      </c>
      <c r="C44" s="77" t="s">
        <v>1941</v>
      </c>
      <c r="D44" s="59">
        <v>2.0</v>
      </c>
      <c r="E44" s="71"/>
      <c r="F44" s="61">
        <f t="shared" si="1"/>
        <v>45744.54698</v>
      </c>
      <c r="G44" s="71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57" t="s">
        <v>750</v>
      </c>
      <c r="C45" s="77" t="s">
        <v>1942</v>
      </c>
      <c r="D45" s="59">
        <v>1.0</v>
      </c>
      <c r="E45" s="71"/>
      <c r="F45" s="61">
        <f t="shared" si="1"/>
        <v>45744.54733</v>
      </c>
      <c r="G45" s="71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57" t="s">
        <v>1049</v>
      </c>
      <c r="C46" s="58" t="str">
        <f>IFERROR(VLOOKUP(B46 ,INVENTARIO!$B$2:C996,2,0),"")</f>
        <v>rollo ancho</v>
      </c>
      <c r="D46" s="59">
        <v>1.0</v>
      </c>
      <c r="E46" s="71"/>
      <c r="F46" s="61">
        <f t="shared" si="1"/>
        <v>45749.46791</v>
      </c>
      <c r="G46" s="71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57" t="s">
        <v>999</v>
      </c>
      <c r="C47" s="58" t="str">
        <f>IFERROR(VLOOKUP(B47 ,INVENTARIO!$B$2:C996,2,0),"")</f>
        <v>discos flap 40</v>
      </c>
      <c r="D47" s="59">
        <v>3.0</v>
      </c>
      <c r="E47" s="71"/>
      <c r="F47" s="61">
        <f t="shared" si="1"/>
        <v>45749.46833</v>
      </c>
      <c r="G47" s="71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57" t="s">
        <v>1894</v>
      </c>
      <c r="C48" s="58"/>
      <c r="D48" s="59">
        <v>1.0</v>
      </c>
      <c r="E48" s="71"/>
      <c r="F48" s="61">
        <f t="shared" si="1"/>
        <v>45749.46929</v>
      </c>
      <c r="G48" s="71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57" t="s">
        <v>468</v>
      </c>
      <c r="C49" s="58" t="str">
        <f>IFERROR(VLOOKUP(B49 ,INVENTARIO!$B$2:C996,2,0),"")</f>
        <v>reduccion hembra macho</v>
      </c>
      <c r="D49" s="59">
        <v>1.0</v>
      </c>
      <c r="E49" s="71"/>
      <c r="F49" s="61">
        <f t="shared" si="1"/>
        <v>45749.46957</v>
      </c>
      <c r="G49" s="71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57" t="s">
        <v>479</v>
      </c>
      <c r="C50" s="58" t="str">
        <f>IFERROR(VLOOKUP(B50 ,INVENTARIO!$B$2:C996,2,0),"")</f>
        <v>union de manguera</v>
      </c>
      <c r="D50" s="59">
        <v>1.0</v>
      </c>
      <c r="E50" s="71"/>
      <c r="F50" s="61">
        <f t="shared" si="1"/>
        <v>45749.47055</v>
      </c>
      <c r="G50" s="71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57" t="s">
        <v>1915</v>
      </c>
      <c r="C51" s="58" t="str">
        <f>IFERROR(VLOOKUP(B51 ,INVENTARIO!$B$2:C996,2,0),"")</f>
        <v/>
      </c>
      <c r="D51" s="59">
        <v>1.0</v>
      </c>
      <c r="E51" s="71"/>
      <c r="F51" s="61">
        <f t="shared" si="1"/>
        <v>45749.4749</v>
      </c>
      <c r="G51" s="71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57" t="s">
        <v>1076</v>
      </c>
      <c r="C52" s="58" t="str">
        <f>IFERROR(VLOOKUP(B52 ,INVENTARIO!$B$2:C996,2,0),"")</f>
        <v>precintos de 300/4,8</v>
      </c>
      <c r="D52" s="59">
        <v>1.0</v>
      </c>
      <c r="E52" s="71"/>
      <c r="F52" s="61">
        <f t="shared" si="1"/>
        <v>45755.38174</v>
      </c>
      <c r="G52" s="71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57" t="s">
        <v>1107</v>
      </c>
      <c r="C53" s="58" t="str">
        <f>IFERROR(VLOOKUP(B53 ,INVENTARIO!$B$2:C996,2,0),"")</f>
        <v>pincel profecional 15mm</v>
      </c>
      <c r="D53" s="59">
        <v>1.0</v>
      </c>
      <c r="E53" s="71"/>
      <c r="F53" s="61">
        <f t="shared" si="1"/>
        <v>45755.38231</v>
      </c>
      <c r="G53" s="71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57" t="s">
        <v>1109</v>
      </c>
      <c r="C54" s="58" t="str">
        <f>IFERROR(VLOOKUP(B54 ,INVENTARIO!$B$2:C996,2,0),"")</f>
        <v>Pinceles profecional  Nº7</v>
      </c>
      <c r="D54" s="59">
        <v>1.0</v>
      </c>
      <c r="E54" s="71"/>
      <c r="F54" s="61">
        <f t="shared" si="1"/>
        <v>45755.38282</v>
      </c>
      <c r="G54" s="71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57" t="s">
        <v>1304</v>
      </c>
      <c r="C55" s="58" t="str">
        <f>IFERROR(VLOOKUP(B55 ,INVENTARIO!$B$2:C996,2,0),"")</f>
        <v>contactos normal cerrado /STECK</v>
      </c>
      <c r="D55" s="59">
        <v>7.0</v>
      </c>
      <c r="E55" s="71"/>
      <c r="F55" s="61">
        <f t="shared" si="1"/>
        <v>45757.601</v>
      </c>
      <c r="G55" s="71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7"/>
    </row>
    <row r="56">
      <c r="A56" s="43"/>
      <c r="B56" s="57" t="s">
        <v>1306</v>
      </c>
      <c r="C56" s="58" t="str">
        <f>IFERROR(VLOOKUP(B56 ,INVENTARIO!$B$2:C996,2,0),"")</f>
        <v>contactos normal abierto /STECK</v>
      </c>
      <c r="D56" s="59">
        <v>10.0</v>
      </c>
      <c r="E56" s="71"/>
      <c r="F56" s="61">
        <f t="shared" si="1"/>
        <v>45757.6013</v>
      </c>
      <c r="G56" s="71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57" t="s">
        <v>248</v>
      </c>
      <c r="C57" s="58" t="str">
        <f>IFERROR(VLOOKUP(B57 ,INVENTARIO!$B$2:C996,2,0),"")</f>
        <v>6004-2RST/C3</v>
      </c>
      <c r="D57" s="59">
        <v>6.0</v>
      </c>
      <c r="E57" s="71"/>
      <c r="F57" s="61">
        <f t="shared" si="1"/>
        <v>45758.39422</v>
      </c>
      <c r="G57" s="71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57" t="s">
        <v>1587</v>
      </c>
      <c r="C58" s="58" t="str">
        <f>IFERROR(VLOOKUP(B58 ,INVENTARIO!$B$2:C996,2,0),"")</f>
        <v>CORREA DENTADA 240XL Transferencia</v>
      </c>
      <c r="D58" s="59">
        <v>1.0</v>
      </c>
      <c r="E58" s="71"/>
      <c r="F58" s="61">
        <f t="shared" si="1"/>
        <v>45758.6689</v>
      </c>
      <c r="G58" s="71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57" t="s">
        <v>292</v>
      </c>
      <c r="C59" s="58" t="str">
        <f>IFERROR(VLOOKUP(B59 ,INVENTARIO!$B$2:C996,2,0),"")</f>
        <v>6204LLUC3/EM 6204LLUC3/L627</v>
      </c>
      <c r="D59" s="71"/>
      <c r="E59" s="71"/>
      <c r="F59" s="61">
        <f t="shared" si="1"/>
        <v>45763.3478</v>
      </c>
      <c r="G59" s="71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57" t="s">
        <v>1358</v>
      </c>
      <c r="C60" s="77" t="s">
        <v>1943</v>
      </c>
      <c r="D60" s="71"/>
      <c r="E60" s="71"/>
      <c r="F60" s="61">
        <f t="shared" si="1"/>
        <v>45763.35149</v>
      </c>
      <c r="G60" s="71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57" t="s">
        <v>1304</v>
      </c>
      <c r="C61" s="58" t="str">
        <f>IFERROR(VLOOKUP(B61 ,INVENTARIO!$B$2:C996,2,0),"")</f>
        <v>contactos normal cerrado /STECK</v>
      </c>
      <c r="D61" s="59">
        <v>4.0</v>
      </c>
      <c r="E61" s="71"/>
      <c r="F61" s="61">
        <f t="shared" si="1"/>
        <v>45763.47527</v>
      </c>
      <c r="G61" s="71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57" t="s">
        <v>1306</v>
      </c>
      <c r="C62" s="58" t="str">
        <f>IFERROR(VLOOKUP(B62 ,INVENTARIO!$B$2:C996,2,0),"")</f>
        <v>contactos normal abierto /STECK</v>
      </c>
      <c r="D62" s="59">
        <v>3.0</v>
      </c>
      <c r="E62" s="71"/>
      <c r="F62" s="61">
        <f t="shared" si="1"/>
        <v>45763.47559</v>
      </c>
      <c r="G62" s="71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57" t="s">
        <v>1289</v>
      </c>
      <c r="C63" s="58" t="str">
        <f>IFERROR(VLOOKUP(B63 ,INVENTARIO!$B$2:C996,2,0),"")</f>
        <v>pulsadores verdes, rasante sin retención</v>
      </c>
      <c r="D63" s="59">
        <v>2.0</v>
      </c>
      <c r="E63" s="71"/>
      <c r="F63" s="61">
        <f t="shared" si="1"/>
        <v>45763.48337</v>
      </c>
      <c r="G63" s="71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57" t="s">
        <v>1944</v>
      </c>
      <c r="C64" s="58" t="str">
        <f>IFERROR(VLOOKUP(B64 ,INVENTARIO!$B$2:C996,2,0),"")</f>
        <v>6201LLUC3/2RS</v>
      </c>
      <c r="D64" s="59">
        <v>1.0</v>
      </c>
      <c r="E64" s="71"/>
      <c r="F64" s="61">
        <f t="shared" si="1"/>
        <v>45763.58522</v>
      </c>
      <c r="G64" s="71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57" t="s">
        <v>1945</v>
      </c>
      <c r="C65" s="58" t="str">
        <f>IFERROR(VLOOKUP(B65 ,INVENTARIO!$B$2:C996,2,0),"")</f>
        <v/>
      </c>
      <c r="D65" s="59">
        <v>1.0</v>
      </c>
      <c r="E65" s="71"/>
      <c r="F65" s="61">
        <f t="shared" si="1"/>
        <v>45763.58538</v>
      </c>
      <c r="G65" s="71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57" t="s">
        <v>364</v>
      </c>
      <c r="C66" s="58" t="str">
        <f>IFERROR(VLOOKUP(B66 ,INVENTARIO!$B$2:C996,2,0),"")</f>
        <v>UCFL204</v>
      </c>
      <c r="D66" s="59">
        <v>1.0</v>
      </c>
      <c r="E66" s="71"/>
      <c r="F66" s="61">
        <f t="shared" si="1"/>
        <v>45776.38052</v>
      </c>
      <c r="G66" s="7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57" t="s">
        <v>122</v>
      </c>
      <c r="C67" s="58" t="str">
        <f>IFERROR(VLOOKUP(B67 ,INVENTARIO!$B$2:C996,2,0),"")</f>
        <v>UC205</v>
      </c>
      <c r="D67" s="59">
        <v>1.0</v>
      </c>
      <c r="E67" s="71"/>
      <c r="F67" s="61">
        <f t="shared" si="1"/>
        <v>45776.38138</v>
      </c>
      <c r="G67" s="7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57" t="s">
        <v>314</v>
      </c>
      <c r="C68" s="58"/>
      <c r="D68" s="59">
        <v>1.0</v>
      </c>
      <c r="E68" s="71"/>
      <c r="F68" s="78">
        <v>45780.0</v>
      </c>
      <c r="G68" s="71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57" t="s">
        <v>306</v>
      </c>
      <c r="C69" s="58" t="str">
        <f>IFERROR(VLOOKUP(B69 ,INVENTARIO!$B$2:C996,2,0),"")</f>
        <v>6209LLUC3 6209LLUC3/2AS</v>
      </c>
      <c r="D69" s="59">
        <v>1.0</v>
      </c>
      <c r="E69" s="71"/>
      <c r="F69" s="61">
        <f t="shared" ref="F69:F140" si="2">IFS(B69="","",F69&lt;&gt;"",F69,TRUE,NOW())</f>
        <v>45780.40563</v>
      </c>
      <c r="G69" s="71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57" t="s">
        <v>1425</v>
      </c>
      <c r="C70" s="58" t="str">
        <f>IFERROR(VLOOKUP(B70 ,INVENTARIO!$B$2:C996,2,0),"")</f>
        <v>SAV 35-72-10</v>
      </c>
      <c r="D70" s="59">
        <v>1.0</v>
      </c>
      <c r="E70" s="71"/>
      <c r="F70" s="61">
        <f t="shared" si="2"/>
        <v>45780.40612</v>
      </c>
      <c r="G70" s="71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57" t="s">
        <v>1505</v>
      </c>
      <c r="C71" s="58" t="str">
        <f>IFERROR(VLOOKUP(B71 ,INVENTARIO!$B$2:C996,2,0),"")</f>
        <v>SAV 68-90-13</v>
      </c>
      <c r="D71" s="59">
        <v>1.0</v>
      </c>
      <c r="E71" s="71"/>
      <c r="F71" s="61">
        <f t="shared" si="2"/>
        <v>45780.40914</v>
      </c>
      <c r="G71" s="71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57" t="s">
        <v>97</v>
      </c>
      <c r="C72" s="58" t="str">
        <f>IFERROR(VLOOKUP(B72 ,INVENTARIO!$B$2:C996,2,0),"")</f>
        <v>UC206-EJE 30</v>
      </c>
      <c r="D72" s="59">
        <v>2.0</v>
      </c>
      <c r="E72" s="71"/>
      <c r="F72" s="61">
        <f t="shared" si="2"/>
        <v>45782.26251</v>
      </c>
      <c r="G72" s="71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57" t="s">
        <v>248</v>
      </c>
      <c r="C73" s="58" t="str">
        <f>IFERROR(VLOOKUP(B73 ,INVENTARIO!$B$2:C996,2,0),"")</f>
        <v>6004-2RST/C3</v>
      </c>
      <c r="D73" s="59">
        <v>2.0</v>
      </c>
      <c r="E73" s="71"/>
      <c r="F73" s="61">
        <f t="shared" si="2"/>
        <v>45783.26869</v>
      </c>
      <c r="G73" s="71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57" t="s">
        <v>1946</v>
      </c>
      <c r="C74" s="58" t="str">
        <f>IFERROR(VLOOKUP(B74 ,INVENTARIO!$B$2:C996,2,0),"")</f>
        <v/>
      </c>
      <c r="D74" s="59">
        <v>1.0</v>
      </c>
      <c r="E74" s="71"/>
      <c r="F74" s="61">
        <f t="shared" si="2"/>
        <v>45783.34427</v>
      </c>
      <c r="G74" s="71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57" t="s">
        <v>1529</v>
      </c>
      <c r="C75" s="58" t="str">
        <f>IFERROR(VLOOKUP(B75 ,INVENTARIO!$B$2:C996,2,0),"")</f>
        <v>A-27 EQUIPOS -AIRE</v>
      </c>
      <c r="D75" s="59">
        <v>2.0</v>
      </c>
      <c r="E75" s="71"/>
      <c r="F75" s="61">
        <f t="shared" si="2"/>
        <v>45784.41587</v>
      </c>
      <c r="G75" s="71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57" t="s">
        <v>246</v>
      </c>
      <c r="C76" s="58" t="str">
        <f>IFERROR(VLOOKUP(B76 ,INVENTARIO!$B$2:C996,2,0),"")</f>
        <v/>
      </c>
      <c r="D76" s="59">
        <v>1.0</v>
      </c>
      <c r="E76" s="71"/>
      <c r="F76" s="61">
        <f t="shared" si="2"/>
        <v>45784.67786</v>
      </c>
      <c r="G76" s="71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57" t="s">
        <v>272</v>
      </c>
      <c r="C77" s="58" t="str">
        <f>IFERROR(VLOOKUP(B77 ,INVENTARIO!$B$2:C996,2,0),"")</f>
        <v>6201LLUC3/2RS</v>
      </c>
      <c r="D77" s="59">
        <v>1.0</v>
      </c>
      <c r="E77" s="71"/>
      <c r="F77" s="61">
        <f t="shared" si="2"/>
        <v>45784.67826</v>
      </c>
      <c r="G77" s="71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57" t="s">
        <v>46</v>
      </c>
      <c r="C78" s="58" t="str">
        <f>IFERROR(VLOOKUP(B78 ,INVENTARIO!$B$2:C996,2,0),"")</f>
        <v>union cadena 40 simple</v>
      </c>
      <c r="D78" s="59">
        <v>3.0</v>
      </c>
      <c r="E78" s="71"/>
      <c r="F78" s="61">
        <f t="shared" si="2"/>
        <v>45785.95066</v>
      </c>
      <c r="G78" s="71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57" t="s">
        <v>1692</v>
      </c>
      <c r="C79" s="58" t="str">
        <f>IFERROR(VLOOKUP(B79 ,INVENTARIO!$B$2:C996,2,0),"")</f>
        <v>diluyente de tinta HITACHI</v>
      </c>
      <c r="D79" s="59">
        <v>1.0</v>
      </c>
      <c r="E79" s="71"/>
      <c r="F79" s="61">
        <f t="shared" si="2"/>
        <v>45789.39874</v>
      </c>
      <c r="G79" s="71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57" t="s">
        <v>339</v>
      </c>
      <c r="C80" s="58">
        <f>IFERROR(VLOOKUP(B80 ,INVENTARIO!$B$2:C996,2,0),"")</f>
        <v>6903</v>
      </c>
      <c r="D80" s="59">
        <v>2.0</v>
      </c>
      <c r="E80" s="71"/>
      <c r="F80" s="61">
        <f t="shared" si="2"/>
        <v>45790.02549</v>
      </c>
      <c r="G80" s="71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57" t="s">
        <v>1920</v>
      </c>
      <c r="C81" s="58" t="str">
        <f>IFERROR(VLOOKUP(B81 ,INVENTARIO!$B$2:C996,2,0),"")</f>
        <v/>
      </c>
      <c r="D81" s="59">
        <v>2.0</v>
      </c>
      <c r="E81" s="71"/>
      <c r="F81" s="61">
        <f t="shared" si="2"/>
        <v>45790.07004</v>
      </c>
      <c r="G81" s="71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57" t="s">
        <v>1005</v>
      </c>
      <c r="C82" s="58" t="str">
        <f>IFERROR(VLOOKUP(B82 ,INVENTARIO!$B$2:C996,2,0),"")</f>
        <v>Disco de corte</v>
      </c>
      <c r="D82" s="59">
        <v>10.0</v>
      </c>
      <c r="E82" s="71"/>
      <c r="F82" s="61">
        <f t="shared" si="2"/>
        <v>45792.36451</v>
      </c>
      <c r="G82" s="71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57" t="s">
        <v>997</v>
      </c>
      <c r="C83" s="58" t="str">
        <f>IFERROR(VLOOKUP(B83 ,INVENTARIO!$B$2:C996,2,0),"")</f>
        <v>Disco abrasivi para desbaste</v>
      </c>
      <c r="D83" s="59">
        <v>1.0</v>
      </c>
      <c r="E83" s="71"/>
      <c r="F83" s="61">
        <f t="shared" si="2"/>
        <v>45792.36472</v>
      </c>
      <c r="G83" s="71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57" t="s">
        <v>1003</v>
      </c>
      <c r="C84" s="58" t="str">
        <f>IFERROR(VLOOKUP(B84 ,INVENTARIO!$B$2:C996,2,0),"")</f>
        <v>discos flap 120</v>
      </c>
      <c r="D84" s="59">
        <v>2.0</v>
      </c>
      <c r="E84" s="71"/>
      <c r="F84" s="61">
        <f t="shared" si="2"/>
        <v>45792.36565</v>
      </c>
      <c r="G84" s="71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57" t="s">
        <v>298</v>
      </c>
      <c r="C85" s="58" t="str">
        <f>IFERROR(VLOOKUP(B85 ,INVENTARIO!$B$2:C996,2,0),"")</f>
        <v>6206LLUC3 6206 LLUC3/2AS</v>
      </c>
      <c r="D85" s="59">
        <v>2.0</v>
      </c>
      <c r="E85" s="71"/>
      <c r="F85" s="61">
        <f t="shared" si="2"/>
        <v>45794.42166</v>
      </c>
      <c r="G85" s="71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57" t="s">
        <v>110</v>
      </c>
      <c r="C86" s="58"/>
      <c r="D86" s="59">
        <v>1.0</v>
      </c>
      <c r="E86" s="71"/>
      <c r="F86" s="61">
        <f t="shared" si="2"/>
        <v>45794.53255</v>
      </c>
      <c r="G86" s="71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57" t="s">
        <v>1566</v>
      </c>
      <c r="C87" s="58" t="str">
        <f>IFERROR(VLOOKUP(B87 ,INVENTARIO!$B$2:C996,2,0),"")</f>
        <v>Correas B-39</v>
      </c>
      <c r="D87" s="71"/>
      <c r="E87" s="71"/>
      <c r="F87" s="61">
        <f t="shared" si="2"/>
        <v>45796.6846</v>
      </c>
      <c r="G87" s="71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57" t="s">
        <v>287</v>
      </c>
      <c r="C88" s="58" t="str">
        <f>IFERROR(VLOOKUP(B88 ,INVENTARIO!$B$2:C996,2,0),"")</f>
        <v>6203 2RST/C3</v>
      </c>
      <c r="D88" s="59">
        <v>2.0</v>
      </c>
      <c r="E88" s="71"/>
      <c r="F88" s="61">
        <f t="shared" si="2"/>
        <v>45797.52373</v>
      </c>
      <c r="G88" s="71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57" t="s">
        <v>1401</v>
      </c>
      <c r="C89" s="58" t="str">
        <f>IFERROR(VLOOKUP(B89 ,INVENTARIO!$B$2:C996,2,0),"")</f>
        <v>30-40-7</v>
      </c>
      <c r="D89" s="71"/>
      <c r="E89" s="71"/>
      <c r="F89" s="61">
        <f t="shared" si="2"/>
        <v>45797.52404</v>
      </c>
      <c r="G89" s="71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57" t="s">
        <v>80</v>
      </c>
      <c r="C90" s="58" t="str">
        <f>IFERROR(VLOOKUP(B90 ,INVENTARIO!$B$2:C996,2,0),"")</f>
        <v>Pernos Para Bandejas Estibador</v>
      </c>
      <c r="D90" s="59">
        <v>1.0</v>
      </c>
      <c r="E90" s="71"/>
      <c r="F90" s="61">
        <f t="shared" si="2"/>
        <v>45811.43274</v>
      </c>
      <c r="G90" s="71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57" t="s">
        <v>312</v>
      </c>
      <c r="C91" s="58" t="str">
        <f>IFERROR(VLOOKUP(B91 ,INVENTARIO!$B$2:C996,2,0),"")</f>
        <v>6302 2RSR/C3.J22C</v>
      </c>
      <c r="D91" s="59">
        <v>2.0</v>
      </c>
      <c r="E91" s="71"/>
      <c r="F91" s="61">
        <f t="shared" si="2"/>
        <v>45814.45364</v>
      </c>
      <c r="G91" s="71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57" t="s">
        <v>1562</v>
      </c>
      <c r="C92" s="58" t="str">
        <f>IFERROR(VLOOKUP(B92 ,INVENTARIO!$B$2:C996,2,0),"")</f>
        <v>Correas B-36</v>
      </c>
      <c r="D92" s="59">
        <v>2.0</v>
      </c>
      <c r="E92" s="71"/>
      <c r="F92" s="61">
        <f t="shared" si="2"/>
        <v>45814.45386</v>
      </c>
      <c r="G92" s="71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57" t="s">
        <v>97</v>
      </c>
      <c r="C93" s="58" t="str">
        <f>IFERROR(VLOOKUP(B93 ,INVENTARIO!$B$2:C996,2,0),"")</f>
        <v>UC206-EJE 30</v>
      </c>
      <c r="D93" s="59">
        <v>1.0</v>
      </c>
      <c r="E93" s="71"/>
      <c r="F93" s="61">
        <f t="shared" si="2"/>
        <v>45827.34833</v>
      </c>
      <c r="G93" s="71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57" t="s">
        <v>158</v>
      </c>
      <c r="C94" s="58" t="str">
        <f>IFERROR(VLOOKUP(B94 ,INVENTARIO!$B$2:C996,2,0),"")</f>
        <v>H309</v>
      </c>
      <c r="D94" s="59">
        <v>2.0</v>
      </c>
      <c r="E94" s="71"/>
      <c r="F94" s="61">
        <f t="shared" si="2"/>
        <v>45828.34665</v>
      </c>
      <c r="G94" s="71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57" t="s">
        <v>164</v>
      </c>
      <c r="C95" s="58" t="str">
        <f>IFERROR(VLOOKUP(B95 ,INVENTARIO!$B$2:C996,2,0),"")</f>
        <v>1209K C3</v>
      </c>
      <c r="D95" s="59">
        <v>2.0</v>
      </c>
      <c r="E95" s="71"/>
      <c r="F95" s="61">
        <f t="shared" si="2"/>
        <v>45828.35002</v>
      </c>
      <c r="G95" s="71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57" t="s">
        <v>1689</v>
      </c>
      <c r="C96" s="58" t="str">
        <f>IFERROR(VLOOKUP(B96 ,INVENTARIO!$B$2:C996,2,0),"")</f>
        <v>diluyente de tinta IMAJE</v>
      </c>
      <c r="D96" s="59">
        <v>4.0</v>
      </c>
      <c r="E96" s="71"/>
      <c r="F96" s="61">
        <f t="shared" si="2"/>
        <v>45828.54832</v>
      </c>
      <c r="G96" s="71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57" t="s">
        <v>1571</v>
      </c>
      <c r="C97" s="58"/>
      <c r="D97" s="59">
        <v>2.0</v>
      </c>
      <c r="E97" s="71"/>
      <c r="F97" s="61">
        <f t="shared" si="2"/>
        <v>0</v>
      </c>
      <c r="G97" s="71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57" t="s">
        <v>1587</v>
      </c>
      <c r="C98" s="58" t="str">
        <f>IFERROR(VLOOKUP(B98 ,INVENTARIO!$B$2:C996,2,0),"")</f>
        <v>CORREA DENTADA 240XL Transferencia</v>
      </c>
      <c r="D98" s="59">
        <v>1.0</v>
      </c>
      <c r="E98" s="71"/>
      <c r="F98" s="61">
        <f t="shared" si="2"/>
        <v>45829.54301</v>
      </c>
      <c r="G98" s="71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57" t="s">
        <v>323</v>
      </c>
      <c r="C99" s="58" t="str">
        <f>IFERROR(VLOOKUP(B99 ,INVENTARIO!$B$2:C996,2,0),"")</f>
        <v>6800LLU</v>
      </c>
      <c r="D99" s="59">
        <v>8.0</v>
      </c>
      <c r="E99" s="71"/>
      <c r="F99" s="61">
        <f t="shared" si="2"/>
        <v>45836.58536</v>
      </c>
      <c r="G99" s="71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57" t="s">
        <v>110</v>
      </c>
      <c r="C100" s="58" t="str">
        <f>IFERROR(VLOOKUP(B100 ,INVENTARIO!$B$2:C996,2,0),"")</f>
        <v>UC204D1</v>
      </c>
      <c r="D100" s="59">
        <v>6.0</v>
      </c>
      <c r="E100" s="71"/>
      <c r="F100" s="61">
        <f t="shared" si="2"/>
        <v>45840.40487</v>
      </c>
      <c r="G100" s="71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57" t="s">
        <v>122</v>
      </c>
      <c r="C101" s="58" t="str">
        <f>IFERROR(VLOOKUP(B101 ,INVENTARIO!$B$2:C996,2,0),"")</f>
        <v>UC205</v>
      </c>
      <c r="D101" s="59">
        <v>2.0</v>
      </c>
      <c r="E101" s="71"/>
      <c r="F101" s="61">
        <f t="shared" si="2"/>
        <v>45840.40514</v>
      </c>
      <c r="G101" s="71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57" t="s">
        <v>108</v>
      </c>
      <c r="C102" s="58" t="str">
        <f>IFERROR(VLOOKUP(B102 ,INVENTARIO!$B$2:C996,2,0),"")</f>
        <v>UC204</v>
      </c>
      <c r="D102" s="59">
        <v>1.0</v>
      </c>
      <c r="E102" s="71"/>
      <c r="F102" s="61">
        <f t="shared" si="2"/>
        <v>45841.67561</v>
      </c>
      <c r="G102" s="71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57" t="s">
        <v>1387</v>
      </c>
      <c r="C103" s="58"/>
      <c r="D103" s="59">
        <v>1.0</v>
      </c>
      <c r="E103" s="71"/>
      <c r="F103" s="61">
        <f t="shared" si="2"/>
        <v>45842.64291</v>
      </c>
      <c r="G103" s="71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57" t="s">
        <v>339</v>
      </c>
      <c r="C104" s="58">
        <f>IFERROR(VLOOKUP(B104 ,INVENTARIO!$B$2:C996,2,0),"")</f>
        <v>6903</v>
      </c>
      <c r="D104" s="59">
        <v>12.0</v>
      </c>
      <c r="E104" s="71"/>
      <c r="F104" s="61">
        <f t="shared" si="2"/>
        <v>45843.62983</v>
      </c>
      <c r="G104" s="71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57" t="s">
        <v>1375</v>
      </c>
      <c r="C105" s="58" t="str">
        <f>IFERROR(VLOOKUP(B105 ,INVENTARIO!$B$2:C996,2,0),"")</f>
        <v>SAV 17-30-7</v>
      </c>
      <c r="D105" s="59">
        <v>9.0</v>
      </c>
      <c r="E105" s="71"/>
      <c r="F105" s="61">
        <f t="shared" si="2"/>
        <v>45843.63278</v>
      </c>
      <c r="G105" s="71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57" t="s">
        <v>1358</v>
      </c>
      <c r="C106" s="77" t="s">
        <v>1947</v>
      </c>
      <c r="D106" s="59">
        <v>2.0</v>
      </c>
      <c r="E106" s="71"/>
      <c r="F106" s="61">
        <f t="shared" si="2"/>
        <v>45845.6103</v>
      </c>
      <c r="G106" s="71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57" t="s">
        <v>244</v>
      </c>
      <c r="C107" s="58" t="str">
        <f>IFERROR(VLOOKUP(B107 ,INVENTARIO!$B$2:C996,2,0),"")</f>
        <v>6003 LLU/C3 - 17X35X10</v>
      </c>
      <c r="D107" s="59">
        <v>2.0</v>
      </c>
      <c r="E107" s="71"/>
      <c r="F107" s="61">
        <f t="shared" si="2"/>
        <v>45853.51673</v>
      </c>
      <c r="G107" s="71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57" t="s">
        <v>257</v>
      </c>
      <c r="C108" s="58" t="str">
        <f>IFERROR(VLOOKUP(B108 ,INVENTARIO!$B$2:C996,2,0),"")</f>
        <v>6007LLUC3 6007LLUC3/2AS</v>
      </c>
      <c r="D108" s="59">
        <v>4.0</v>
      </c>
      <c r="E108" s="71"/>
      <c r="F108" s="61">
        <f t="shared" si="2"/>
        <v>45857.67566</v>
      </c>
      <c r="G108" s="71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57" t="s">
        <v>323</v>
      </c>
      <c r="C109" s="58" t="str">
        <f>IFERROR(VLOOKUP(B109 ,INVENTARIO!$B$2:C996,2,0),"")</f>
        <v>6800LLU</v>
      </c>
      <c r="D109" s="59">
        <v>5.0</v>
      </c>
      <c r="E109" s="71"/>
      <c r="F109" s="61">
        <f t="shared" si="2"/>
        <v>45859.63173</v>
      </c>
      <c r="G109" s="71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57" t="s">
        <v>246</v>
      </c>
      <c r="C110" s="58" t="str">
        <f>IFERROR(VLOOKUP(B110 ,INVENTARIO!$B$2:C996,2,0),"")</f>
        <v/>
      </c>
      <c r="D110" s="59">
        <v>2.0</v>
      </c>
      <c r="E110" s="71"/>
      <c r="F110" s="61">
        <f t="shared" si="2"/>
        <v>45860.31501</v>
      </c>
      <c r="G110" s="71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57" t="s">
        <v>255</v>
      </c>
      <c r="C111" s="58" t="str">
        <f>IFERROR(VLOOKUP(B111 ,INVENTARIO!$B$2:C996,2,0),"")</f>
        <v>6006-2RSC/3</v>
      </c>
      <c r="D111" s="59">
        <v>2.0</v>
      </c>
      <c r="E111" s="71"/>
      <c r="F111" s="61">
        <f t="shared" si="2"/>
        <v>45860.31515</v>
      </c>
      <c r="G111" s="71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57" t="s">
        <v>257</v>
      </c>
      <c r="C112" s="58" t="str">
        <f>IFERROR(VLOOKUP(B112 ,INVENTARIO!$B$2:C996,2,0),"")</f>
        <v>6007LLUC3 6007LLUC3/2AS</v>
      </c>
      <c r="D112" s="59">
        <v>2.0</v>
      </c>
      <c r="E112" s="71"/>
      <c r="F112" s="61">
        <f t="shared" si="2"/>
        <v>45860.31529</v>
      </c>
      <c r="G112" s="71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57" t="s">
        <v>1399</v>
      </c>
      <c r="C113" s="58" t="str">
        <f>IFERROR(VLOOKUP(B113 ,INVENTARIO!$B$2:C996,2,0),"")</f>
        <v>28-47-7</v>
      </c>
      <c r="D113" s="59">
        <v>3.0</v>
      </c>
      <c r="E113" s="71"/>
      <c r="F113" s="61">
        <f t="shared" si="2"/>
        <v>45861.57455</v>
      </c>
      <c r="G113" s="71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57" t="s">
        <v>122</v>
      </c>
      <c r="C114" s="58" t="str">
        <f>IFERROR(VLOOKUP(B114 ,INVENTARIO!$B$2:C996,2,0),"")</f>
        <v>UC205</v>
      </c>
      <c r="D114" s="59">
        <v>1.0</v>
      </c>
      <c r="E114" s="71"/>
      <c r="F114" s="61">
        <f t="shared" si="2"/>
        <v>45862.61255</v>
      </c>
      <c r="G114" s="71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57" t="s">
        <v>323</v>
      </c>
      <c r="C115" s="58" t="str">
        <f>IFERROR(VLOOKUP(B115 ,INVENTARIO!$B$2:C996,2,0),"")</f>
        <v>6800LLU</v>
      </c>
      <c r="D115" s="59">
        <v>6.0</v>
      </c>
      <c r="E115" s="71"/>
      <c r="F115" s="61">
        <f t="shared" si="2"/>
        <v>45863.51055</v>
      </c>
      <c r="G115" s="71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57" t="s">
        <v>108</v>
      </c>
      <c r="C116" s="58" t="str">
        <f>IFERROR(VLOOKUP(B116 ,INVENTARIO!$B$2:C996,2,0),"")</f>
        <v>UC204</v>
      </c>
      <c r="D116" s="59">
        <v>2.0</v>
      </c>
      <c r="E116" s="71"/>
      <c r="F116" s="61">
        <f t="shared" si="2"/>
        <v>45866.5224</v>
      </c>
      <c r="G116" s="71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57" t="s">
        <v>292</v>
      </c>
      <c r="C117" s="58" t="str">
        <f>IFERROR(VLOOKUP(B117 ,INVENTARIO!$B$2:C996,2,0),"")</f>
        <v>6204LLUC3/EM 6204LLUC3/L627</v>
      </c>
      <c r="D117" s="59">
        <v>2.0</v>
      </c>
      <c r="E117" s="71"/>
      <c r="F117" s="61">
        <f t="shared" si="2"/>
        <v>45867.33366</v>
      </c>
      <c r="G117" s="71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57" t="s">
        <v>1306</v>
      </c>
      <c r="C118" s="58" t="str">
        <f>IFERROR(VLOOKUP(B118 ,INVENTARIO!$B$2:C996,2,0),"")</f>
        <v>contactos normal abierto /STECK</v>
      </c>
      <c r="D118" s="59">
        <v>5.0</v>
      </c>
      <c r="E118" s="71"/>
      <c r="F118" s="61">
        <f t="shared" si="2"/>
        <v>45874.48188</v>
      </c>
      <c r="G118" s="71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57" t="s">
        <v>122</v>
      </c>
      <c r="C119" s="58" t="str">
        <f>IFERROR(VLOOKUP(B119 ,INVENTARIO!$B$2:C996,2,0),"")</f>
        <v>UC205</v>
      </c>
      <c r="D119" s="59">
        <v>3.0</v>
      </c>
      <c r="E119" s="71"/>
      <c r="F119" s="61">
        <f t="shared" si="2"/>
        <v>45884.02405</v>
      </c>
      <c r="G119" s="71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57" t="s">
        <v>83</v>
      </c>
      <c r="C120" s="58" t="str">
        <f>IFERROR(VLOOKUP(B120 ,INVENTARIO!$B$2:C996,2,0),"")</f>
        <v>CF 1 1/8 S</v>
      </c>
      <c r="D120" s="59">
        <v>1.0</v>
      </c>
      <c r="E120" s="71"/>
      <c r="F120" s="61">
        <f t="shared" si="2"/>
        <v>45888.30006</v>
      </c>
      <c r="G120" s="71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57" t="s">
        <v>122</v>
      </c>
      <c r="C121" s="58" t="str">
        <f>IFERROR(VLOOKUP(B121 ,INVENTARIO!$B$2:C996,2,0),"")</f>
        <v>UC205</v>
      </c>
      <c r="D121" s="59">
        <v>2.0</v>
      </c>
      <c r="E121" s="71"/>
      <c r="F121" s="61">
        <f t="shared" si="2"/>
        <v>45892.506</v>
      </c>
      <c r="G121" s="71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57" t="s">
        <v>122</v>
      </c>
      <c r="C122" s="58" t="str">
        <f>IFERROR(VLOOKUP(B122 ,INVENTARIO!$B$2:C996,2,0),"")</f>
        <v>UC205</v>
      </c>
      <c r="D122" s="59">
        <v>4.0</v>
      </c>
      <c r="E122" s="71"/>
      <c r="F122" s="61">
        <f t="shared" si="2"/>
        <v>45894.38581</v>
      </c>
      <c r="G122" s="71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57" t="s">
        <v>1865</v>
      </c>
      <c r="C123" s="58" t="str">
        <f>IFERROR(VLOOKUP(B123 ,INVENTARIO!$B$2:C996,2,0),"")</f>
        <v>Filtro Eliminator cod. Danfoss 023Z0071</v>
      </c>
      <c r="D123" s="59">
        <v>1.0</v>
      </c>
      <c r="E123" s="71"/>
      <c r="F123" s="61">
        <f t="shared" si="2"/>
        <v>45899.51291</v>
      </c>
      <c r="G123" s="71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57" t="s">
        <v>1868</v>
      </c>
      <c r="C124" s="58" t="str">
        <f>IFERROR(VLOOKUP(B124 ,INVENTARIO!$B$2:C996,2,0),"")</f>
        <v>Valvula expansora R22 Cod. Danfoss 067B3210</v>
      </c>
      <c r="D124" s="59">
        <v>1.0</v>
      </c>
      <c r="E124" s="71"/>
      <c r="F124" s="61">
        <f t="shared" si="2"/>
        <v>45899.51453</v>
      </c>
      <c r="G124" s="71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57" t="s">
        <v>1870</v>
      </c>
      <c r="C125" s="58" t="str">
        <f>IFERROR(VLOOKUP(B125 ,INVENTARIO!$B$2:C996,2,0),"")</f>
        <v>Bastago de expansora R22 Cod. Danfoss 067B2709</v>
      </c>
      <c r="D125" s="59">
        <v>1.0</v>
      </c>
      <c r="E125" s="71"/>
      <c r="F125" s="61">
        <f t="shared" si="2"/>
        <v>45899.51473</v>
      </c>
      <c r="G125" s="71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57" t="s">
        <v>108</v>
      </c>
      <c r="C126" s="58" t="str">
        <f>IFERROR(VLOOKUP(B126 ,INVENTARIO!$B$2:C996,2,0),"")</f>
        <v>UC204</v>
      </c>
      <c r="D126" s="59">
        <v>2.0</v>
      </c>
      <c r="E126" s="71"/>
      <c r="F126" s="61">
        <f t="shared" si="2"/>
        <v>45910.45302</v>
      </c>
      <c r="G126" s="71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57" t="s">
        <v>1930</v>
      </c>
      <c r="C127" s="58" t="str">
        <f>IFERROR(VLOOKUP(B127 ,INVENTARIO!$B$2:C996,2,0),"")</f>
        <v/>
      </c>
      <c r="D127" s="59">
        <v>2.0</v>
      </c>
      <c r="E127" s="71"/>
      <c r="F127" s="61">
        <f t="shared" si="2"/>
        <v>45913.63886</v>
      </c>
      <c r="G127" s="71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57" t="s">
        <v>323</v>
      </c>
      <c r="C128" s="58" t="str">
        <f>IFERROR(VLOOKUP(B128 ,INVENTARIO!$B$2:C996,2,0),"")</f>
        <v>6800LLU</v>
      </c>
      <c r="D128" s="59">
        <v>4.0</v>
      </c>
      <c r="E128" s="71"/>
      <c r="F128" s="61">
        <f t="shared" si="2"/>
        <v>45917.04797</v>
      </c>
      <c r="G128" s="71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57" t="s">
        <v>339</v>
      </c>
      <c r="C129" s="58">
        <f>IFERROR(VLOOKUP(B129 ,INVENTARIO!$B$2:C996,2,0),"")</f>
        <v>6903</v>
      </c>
      <c r="D129" s="59">
        <v>4.0</v>
      </c>
      <c r="E129" s="71"/>
      <c r="F129" s="61">
        <f t="shared" si="2"/>
        <v>45917.99225</v>
      </c>
      <c r="G129" s="71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57" t="s">
        <v>108</v>
      </c>
      <c r="C130" s="58" t="str">
        <f>IFERROR(VLOOKUP(B130 ,INVENTARIO!$B$2:C996,2,0),"")</f>
        <v>UC204</v>
      </c>
      <c r="D130" s="59">
        <v>1.0</v>
      </c>
      <c r="E130" s="71"/>
      <c r="F130" s="61">
        <f t="shared" si="2"/>
        <v>45917.99252</v>
      </c>
      <c r="G130" s="71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57" t="s">
        <v>1566</v>
      </c>
      <c r="C131" s="58" t="str">
        <f>IFERROR(VLOOKUP(B131 ,INVENTARIO!$B$2:C996,2,0),"")</f>
        <v>Correas B-39</v>
      </c>
      <c r="D131" s="59">
        <v>2.0</v>
      </c>
      <c r="E131" s="71"/>
      <c r="F131" s="61">
        <f t="shared" si="2"/>
        <v>45919.07668</v>
      </c>
      <c r="G131" s="71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57" t="s">
        <v>108</v>
      </c>
      <c r="C132" s="58" t="str">
        <f>IFERROR(VLOOKUP(B132 ,INVENTARIO!$B$2:C996,2,0),"")</f>
        <v>UC204</v>
      </c>
      <c r="D132" s="59">
        <v>5.0</v>
      </c>
      <c r="E132" s="71"/>
      <c r="F132" s="61">
        <f t="shared" si="2"/>
        <v>45920.35299</v>
      </c>
      <c r="G132" s="71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57" t="s">
        <v>339</v>
      </c>
      <c r="C133" s="58">
        <f>IFERROR(VLOOKUP(B133 ,INVENTARIO!$B$2:C996,2,0),"")</f>
        <v>6903</v>
      </c>
      <c r="D133" s="59">
        <v>4.0</v>
      </c>
      <c r="E133" s="71"/>
      <c r="F133" s="61">
        <f t="shared" si="2"/>
        <v>45920.35319</v>
      </c>
      <c r="G133" s="71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57" t="s">
        <v>1375</v>
      </c>
      <c r="C134" s="58" t="str">
        <f>IFERROR(VLOOKUP(B134 ,INVENTARIO!$B$2:C996,2,0),"")</f>
        <v>SAV 17-30-7</v>
      </c>
      <c r="D134" s="59">
        <v>4.0</v>
      </c>
      <c r="E134" s="71"/>
      <c r="F134" s="61">
        <f t="shared" si="2"/>
        <v>45920.35346</v>
      </c>
      <c r="G134" s="71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57" t="s">
        <v>255</v>
      </c>
      <c r="C135" s="58" t="str">
        <f>IFERROR(VLOOKUP(B135 ,INVENTARIO!$B$2:C996,2,0),"")</f>
        <v>6006-2RSC/3</v>
      </c>
      <c r="D135" s="59">
        <v>2.0</v>
      </c>
      <c r="E135" s="71"/>
      <c r="F135" s="61">
        <f t="shared" si="2"/>
        <v>45920.64682</v>
      </c>
      <c r="G135" s="71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57" t="s">
        <v>294</v>
      </c>
      <c r="C136" s="58" t="str">
        <f>IFERROR(VLOOKUP(B136 ,INVENTARIO!$B$2:C996,2,0),"")</f>
        <v>6205-2RST/C3</v>
      </c>
      <c r="D136" s="59">
        <v>2.0</v>
      </c>
      <c r="E136" s="71"/>
      <c r="F136" s="61">
        <f t="shared" si="2"/>
        <v>45920.64701</v>
      </c>
      <c r="G136" s="71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57" t="s">
        <v>122</v>
      </c>
      <c r="C137" s="58" t="str">
        <f>IFERROR(VLOOKUP(B137 ,INVENTARIO!$B$2:C996,2,0),"")</f>
        <v>UC205</v>
      </c>
      <c r="D137" s="59">
        <v>2.0</v>
      </c>
      <c r="E137" s="71"/>
      <c r="F137" s="61">
        <f t="shared" si="2"/>
        <v>45931.42938</v>
      </c>
      <c r="G137" s="71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57" t="s">
        <v>248</v>
      </c>
      <c r="C138" s="58" t="str">
        <f>IFERROR(VLOOKUP(B138 ,INVENTARIO!$B$2:C996,2,0),"")</f>
        <v>6004-2RST/C3</v>
      </c>
      <c r="D138" s="59">
        <v>3.0</v>
      </c>
      <c r="E138" s="71"/>
      <c r="F138" s="61">
        <f t="shared" si="2"/>
        <v>45932.12431</v>
      </c>
      <c r="G138" s="71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57" t="s">
        <v>251</v>
      </c>
      <c r="C139" s="58" t="str">
        <f>IFERROR(VLOOKUP(B139 ,INVENTARIO!$B$2:C996,2,0),"")</f>
        <v>6004ZZ</v>
      </c>
      <c r="D139" s="59">
        <v>1.0</v>
      </c>
      <c r="E139" s="71"/>
      <c r="F139" s="61">
        <f t="shared" si="2"/>
        <v>45932.12456</v>
      </c>
      <c r="G139" s="71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57" t="s">
        <v>248</v>
      </c>
      <c r="C140" s="58" t="str">
        <f>IFERROR(VLOOKUP(B140 ,INVENTARIO!$B$2:C996,2,0),"")</f>
        <v>6004-2RST/C3</v>
      </c>
      <c r="D140" s="59">
        <v>4.0</v>
      </c>
      <c r="E140" s="71"/>
      <c r="F140" s="61">
        <f t="shared" si="2"/>
        <v>45932.35481</v>
      </c>
      <c r="G140" s="71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57"/>
      <c r="C141" s="58"/>
      <c r="D141" s="71"/>
      <c r="E141" s="71"/>
      <c r="F141" s="61"/>
      <c r="G141" s="71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57" t="s">
        <v>1221</v>
      </c>
      <c r="C142" s="58" t="str">
        <f>IFERROR(VLOOKUP(B142 ,INVENTARIO!$B$2:C996,2,0),"")</f>
        <v>sec1x8kv 20a 11kv tranformador de encendido Mod.8000</v>
      </c>
      <c r="D142" s="59">
        <v>1.0</v>
      </c>
      <c r="E142" s="71"/>
      <c r="F142" s="61">
        <f t="shared" ref="F142:F996" si="3">IFS(B142="","",F142&lt;&gt;"",F142,TRUE,NOW())</f>
        <v>45933.52559</v>
      </c>
      <c r="G142" s="71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57" t="s">
        <v>999</v>
      </c>
      <c r="C143" s="58" t="str">
        <f>IFERROR(VLOOKUP(B143 ,INVENTARIO!$B$2:C996,2,0),"")</f>
        <v>discos flap 40</v>
      </c>
      <c r="D143" s="59">
        <v>2.0</v>
      </c>
      <c r="E143" s="71"/>
      <c r="F143" s="61">
        <f t="shared" si="3"/>
        <v>45933.52676</v>
      </c>
      <c r="G143" s="71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57" t="s">
        <v>1003</v>
      </c>
      <c r="C144" s="58" t="str">
        <f>IFERROR(VLOOKUP(B144 ,INVENTARIO!$B$2:C996,2,0),"")</f>
        <v>discos flap 120</v>
      </c>
      <c r="D144" s="59">
        <v>2.0</v>
      </c>
      <c r="E144" s="71"/>
      <c r="F144" s="61">
        <f t="shared" si="3"/>
        <v>45933.527</v>
      </c>
      <c r="G144" s="71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57" t="s">
        <v>1001</v>
      </c>
      <c r="C145" s="58" t="str">
        <f>IFERROR(VLOOKUP(B145 ,INVENTARIO!$B$2:C996,2,0),"")</f>
        <v>discos flap 60</v>
      </c>
      <c r="D145" s="59">
        <v>2.0</v>
      </c>
      <c r="E145" s="71"/>
      <c r="F145" s="61">
        <f t="shared" si="3"/>
        <v>45933.52711</v>
      </c>
      <c r="G145" s="71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57" t="s">
        <v>122</v>
      </c>
      <c r="C146" s="58" t="str">
        <f>IFERROR(VLOOKUP(B146 ,INVENTARIO!$B$2:C996,2,0),"")</f>
        <v>UC205</v>
      </c>
      <c r="D146" s="59">
        <v>2.0</v>
      </c>
      <c r="E146" s="71"/>
      <c r="F146" s="61">
        <f t="shared" si="3"/>
        <v>45937.24462</v>
      </c>
      <c r="G146" s="71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57" t="s">
        <v>369</v>
      </c>
      <c r="C147" s="58" t="str">
        <f>IFERROR(VLOOKUP(B147 ,INVENTARIO!$B$2:C996,2,0),"")</f>
        <v>FL205 +ROD</v>
      </c>
      <c r="D147" s="59">
        <v>1.0</v>
      </c>
      <c r="E147" s="71"/>
      <c r="F147" s="61">
        <f t="shared" si="3"/>
        <v>45937.24532</v>
      </c>
      <c r="G147" s="71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57" t="s">
        <v>1389</v>
      </c>
      <c r="C148" s="58" t="str">
        <f>IFERROR(VLOOKUP(B148 ,INVENTARIO!$B$2:C996,2,0),"")</f>
        <v>SAV 25-42-8</v>
      </c>
      <c r="D148" s="59">
        <v>1.0</v>
      </c>
      <c r="E148" s="71"/>
      <c r="F148" s="61">
        <f t="shared" si="3"/>
        <v>45937.24637</v>
      </c>
      <c r="G148" s="71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57" t="s">
        <v>246</v>
      </c>
      <c r="C149" s="58" t="str">
        <f>IFERROR(VLOOKUP(B149 ,INVENTARIO!$B$2:C996,2,0),"")</f>
        <v/>
      </c>
      <c r="D149" s="59">
        <v>2.0</v>
      </c>
      <c r="E149" s="71"/>
      <c r="F149" s="61">
        <f t="shared" si="3"/>
        <v>45937.36797</v>
      </c>
      <c r="G149" s="71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57" t="s">
        <v>1875</v>
      </c>
      <c r="C150" s="58" t="str">
        <f>IFERROR(VLOOKUP(B150 ,INVENTARIO!$B$2:C996,2,0),"")</f>
        <v>Tobera Danfoss T2 Nr.03 (1T R12/502-1.5T R22) 0682006</v>
      </c>
      <c r="D150" s="59">
        <v>2.0</v>
      </c>
      <c r="E150" s="71"/>
      <c r="F150" s="61">
        <f t="shared" si="3"/>
        <v>45953.37442</v>
      </c>
      <c r="G150" s="71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57" t="s">
        <v>1872</v>
      </c>
      <c r="C151" s="58" t="str">
        <f>IFERROR(VLOOKUP(B151 ,INVENTARIO!$B$2:C996,2,0),"")</f>
        <v>Valvula Danfoss TX2 R22 S/COMPENSADOR 068Z3206</v>
      </c>
      <c r="D151" s="59">
        <v>2.0</v>
      </c>
      <c r="E151" s="71"/>
      <c r="F151" s="61">
        <f t="shared" si="3"/>
        <v>45953.37461</v>
      </c>
      <c r="G151" s="71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57" t="s">
        <v>1562</v>
      </c>
      <c r="C152" s="58" t="str">
        <f>IFERROR(VLOOKUP(B152 ,INVENTARIO!$B$2:C996,2,0),"")</f>
        <v>Correas B-36</v>
      </c>
      <c r="D152" s="59">
        <v>3.0</v>
      </c>
      <c r="E152" s="71"/>
      <c r="F152" s="61">
        <f t="shared" si="3"/>
        <v>45957.48734</v>
      </c>
      <c r="G152" s="71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57" t="s">
        <v>1577</v>
      </c>
      <c r="C153" s="58" t="str">
        <f>IFERROR(VLOOKUP(B153 ,INVENTARIO!$B$2:C996,2,0),"")</f>
        <v>Correas B-49</v>
      </c>
      <c r="D153" s="59">
        <v>3.0</v>
      </c>
      <c r="E153" s="71"/>
      <c r="F153" s="61">
        <f t="shared" si="3"/>
        <v>45957.48804</v>
      </c>
      <c r="G153" s="71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57" t="s">
        <v>58</v>
      </c>
      <c r="C154" s="58" t="str">
        <f>IFERROR(VLOOKUP(B154 ,INVENTARIO!$B$2:C996,2,0),"")</f>
        <v>Union cadena ASA 60 doble</v>
      </c>
      <c r="D154" s="59">
        <v>2.0</v>
      </c>
      <c r="E154" s="71"/>
      <c r="F154" s="61">
        <f t="shared" si="3"/>
        <v>45957.48879</v>
      </c>
      <c r="G154" s="71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57" t="s">
        <v>21</v>
      </c>
      <c r="C155" s="58" t="str">
        <f>IFERROR(VLOOKUP(B155 ,INVENTARIO!$B$2:C996,2,0),"")</f>
        <v>ASA 60 DOBLE</v>
      </c>
      <c r="D155" s="59">
        <v>2.0</v>
      </c>
      <c r="E155" s="71"/>
      <c r="F155" s="61">
        <f t="shared" si="3"/>
        <v>45957.48963</v>
      </c>
      <c r="G155" s="71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57" t="s">
        <v>415</v>
      </c>
      <c r="C156" s="58"/>
      <c r="D156" s="59">
        <v>2.0</v>
      </c>
      <c r="E156" s="71"/>
      <c r="F156" s="61">
        <f t="shared" si="3"/>
        <v>45960.42986</v>
      </c>
      <c r="G156" s="71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57" t="s">
        <v>391</v>
      </c>
      <c r="C157" s="58" t="str">
        <f>IFERROR(VLOOKUP(B157 ,INVENTARIO!$B$2:C996,2,0),"")</f>
        <v>entre rosca</v>
      </c>
      <c r="D157" s="59">
        <v>1.0</v>
      </c>
      <c r="E157" s="71"/>
      <c r="F157" s="61">
        <f t="shared" si="3"/>
        <v>45960.43008</v>
      </c>
      <c r="G157" s="71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57" t="s">
        <v>475</v>
      </c>
      <c r="C158" s="58" t="str">
        <f>IFERROR(VLOOKUP(B158 ,INVENTARIO!$B$2:C996,2,0),"")</f>
        <v>union doble</v>
      </c>
      <c r="D158" s="59">
        <v>1.0</v>
      </c>
      <c r="E158" s="71"/>
      <c r="F158" s="61">
        <f t="shared" si="3"/>
        <v>45960.43074</v>
      </c>
      <c r="G158" s="71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57" t="s">
        <v>397</v>
      </c>
      <c r="C159" s="58" t="str">
        <f>IFERROR(VLOOKUP(B159 ,INVENTARIO!$B$2:C996,2,0),"")</f>
        <v>cuplas</v>
      </c>
      <c r="D159" s="59">
        <v>1.0</v>
      </c>
      <c r="E159" s="71"/>
      <c r="F159" s="61">
        <f t="shared" si="3"/>
        <v>45960.43099</v>
      </c>
      <c r="G159" s="71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57" t="s">
        <v>422</v>
      </c>
      <c r="C160" s="58" t="str">
        <f>IFERROR(VLOOKUP(B160 ,INVENTARIO!$B$2:C996,2,0),"")</f>
        <v>union T hembra</v>
      </c>
      <c r="D160" s="59">
        <v>1.0</v>
      </c>
      <c r="E160" s="71"/>
      <c r="F160" s="61">
        <f t="shared" si="3"/>
        <v>45960.43169</v>
      </c>
      <c r="G160" s="71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57" t="s">
        <v>1677</v>
      </c>
      <c r="C161" s="58" t="str">
        <f>IFERROR(VLOOKUP(B161 ,INVENTARIO!$B$2:C996,2,0),"")</f>
        <v>Biocida Bardahl x 900ML</v>
      </c>
      <c r="D161" s="59">
        <v>1.0</v>
      </c>
      <c r="E161" s="71"/>
      <c r="F161" s="61">
        <f t="shared" si="3"/>
        <v>45962.43052</v>
      </c>
      <c r="G161" s="71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57" t="s">
        <v>527</v>
      </c>
      <c r="C162" s="58" t="str">
        <f>IFERROR(VLOOKUP(B162 ,INVENTARIO!$B$2:C996,2,0),"")</f>
        <v>Codigo/Marca WR900 Wega </v>
      </c>
      <c r="D162" s="59">
        <v>2.0</v>
      </c>
      <c r="E162" s="71"/>
      <c r="F162" s="61">
        <f t="shared" si="3"/>
        <v>45962.43208</v>
      </c>
      <c r="G162" s="71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57" t="s">
        <v>398</v>
      </c>
      <c r="C163" s="58" t="str">
        <f>IFERROR(VLOOKUP(B163 ,INVENTARIO!$B$2:C996,2,0),"")</f>
        <v>cuplas</v>
      </c>
      <c r="D163" s="59">
        <v>2.0</v>
      </c>
      <c r="E163" s="71"/>
      <c r="F163" s="61">
        <f t="shared" si="3"/>
        <v>45964.41939</v>
      </c>
      <c r="G163" s="71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57" t="s">
        <v>422</v>
      </c>
      <c r="C164" s="58" t="str">
        <f>IFERROR(VLOOKUP(B164 ,INVENTARIO!$B$2:C996,2,0),"")</f>
        <v>union T hembra</v>
      </c>
      <c r="D164" s="59">
        <v>2.0</v>
      </c>
      <c r="E164" s="71"/>
      <c r="F164" s="61">
        <f t="shared" si="3"/>
        <v>45964.41953</v>
      </c>
      <c r="G164" s="71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57" t="s">
        <v>438</v>
      </c>
      <c r="C165" s="58" t="str">
        <f>IFERROR(VLOOKUP(B165 ,INVENTARIO!$B$2:C996,2,0),"")</f>
        <v>valvula esferica</v>
      </c>
      <c r="D165" s="59">
        <v>2.0</v>
      </c>
      <c r="E165" s="71"/>
      <c r="F165" s="61">
        <f t="shared" si="3"/>
        <v>45964.42507</v>
      </c>
      <c r="G165" s="71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57" t="s">
        <v>435</v>
      </c>
      <c r="C166" s="58" t="str">
        <f>IFERROR(VLOOKUP(B166 ,INVENTARIO!$B$2:C996,2,0),"")</f>
        <v>valvula esferica</v>
      </c>
      <c r="D166" s="59">
        <v>5.0</v>
      </c>
      <c r="E166" s="71"/>
      <c r="F166" s="61">
        <f t="shared" si="3"/>
        <v>45964.42524</v>
      </c>
      <c r="G166" s="71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57" t="s">
        <v>122</v>
      </c>
      <c r="C167" s="58" t="str">
        <f>IFERROR(VLOOKUP(B167 ,INVENTARIO!$B$2:C996,2,0),"")</f>
        <v>UC205</v>
      </c>
      <c r="D167" s="59">
        <v>1.0</v>
      </c>
      <c r="E167" s="71"/>
      <c r="F167" s="61">
        <f t="shared" si="3"/>
        <v>45965.52355</v>
      </c>
      <c r="G167" s="71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57" t="s">
        <v>233</v>
      </c>
      <c r="C168" s="58" t="str">
        <f>IFERROR(VLOOKUP(B168 ,INVENTARIO!$B$2:C996,2,0),"")</f>
        <v>R8LLUC3 </v>
      </c>
      <c r="D168" s="59">
        <v>4.0</v>
      </c>
      <c r="E168" s="71"/>
      <c r="F168" s="61">
        <f t="shared" si="3"/>
        <v>45966.45241</v>
      </c>
      <c r="G168" s="71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57" t="s">
        <v>268</v>
      </c>
      <c r="C169" s="58" t="str">
        <f>IFERROR(VLOOKUP(B169 ,INVENTARIO!$B$2:C996,2,0),"")</f>
        <v>6200-2RSC3</v>
      </c>
      <c r="D169" s="59">
        <v>2.0</v>
      </c>
      <c r="E169" s="71"/>
      <c r="F169" s="61">
        <f t="shared" si="3"/>
        <v>45966.45259</v>
      </c>
      <c r="G169" s="71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57" t="s">
        <v>1197</v>
      </c>
      <c r="C170" s="58" t="str">
        <f>IFERROR(VLOOKUP(B170 ,INVENTARIO!$B$2:C996,2,0),"")</f>
        <v>Controlador Resideo DKG 972-N Mod.03</v>
      </c>
      <c r="D170" s="59">
        <v>1.0</v>
      </c>
      <c r="E170" s="71"/>
      <c r="F170" s="61">
        <f t="shared" si="3"/>
        <v>45968.63004</v>
      </c>
      <c r="G170" s="71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57" t="s">
        <v>1396</v>
      </c>
      <c r="C171" s="58" t="str">
        <f>IFERROR(VLOOKUP(B171 ,INVENTARIO!$B$2:C996,2,0),"")</f>
        <v>25-62-10</v>
      </c>
      <c r="D171" s="59">
        <v>1.0</v>
      </c>
      <c r="E171" s="71"/>
      <c r="F171" s="61">
        <f t="shared" si="3"/>
        <v>45968.67085</v>
      </c>
      <c r="G171" s="71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57" t="s">
        <v>255</v>
      </c>
      <c r="C172" s="58" t="str">
        <f>IFERROR(VLOOKUP(B172 ,INVENTARIO!$B$2:C996,2,0),"")</f>
        <v>6006-2RSC/3</v>
      </c>
      <c r="D172" s="59">
        <v>2.0</v>
      </c>
      <c r="E172" s="71"/>
      <c r="F172" s="61">
        <f t="shared" si="3"/>
        <v>45969.47506</v>
      </c>
      <c r="G172" s="71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57" t="s">
        <v>253</v>
      </c>
      <c r="C173" s="58" t="str">
        <f>IFERROR(VLOOKUP(B173 ,INVENTARIO!$B$2:C996,2,0),"")</f>
        <v>6005LLUC3/ 6005LLUC3/2AS</v>
      </c>
      <c r="D173" s="59">
        <v>1.0</v>
      </c>
      <c r="E173" s="71"/>
      <c r="F173" s="61">
        <f t="shared" si="3"/>
        <v>45969.4764</v>
      </c>
      <c r="G173" s="71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57" t="s">
        <v>228</v>
      </c>
      <c r="C174" s="58" t="str">
        <f>IFERROR(VLOOKUP(B174 ,INVENTARIO!$B$2:C996,2,0),"")</f>
        <v>203KDD</v>
      </c>
      <c r="D174" s="59">
        <v>1.0</v>
      </c>
      <c r="E174" s="71"/>
      <c r="F174" s="61">
        <f t="shared" si="3"/>
        <v>45969.47661</v>
      </c>
      <c r="G174" s="71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57" t="s">
        <v>1405</v>
      </c>
      <c r="C175" s="58" t="str">
        <f>IFERROR(VLOOKUP(B175 ,INVENTARIO!$B$2:C996,2,0),"")</f>
        <v>30-47-7</v>
      </c>
      <c r="D175" s="59">
        <v>1.0</v>
      </c>
      <c r="E175" s="71"/>
      <c r="F175" s="61">
        <f t="shared" si="3"/>
        <v>45969.47687</v>
      </c>
      <c r="G175" s="71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69"/>
      <c r="C176" s="58" t="str">
        <f>IFERROR(VLOOKUP(B176 ,INVENTARIO!$B$2:C996,2,0),"")</f>
        <v/>
      </c>
      <c r="D176" s="71"/>
      <c r="E176" s="71"/>
      <c r="F176" s="61" t="str">
        <f t="shared" si="3"/>
        <v/>
      </c>
      <c r="G176" s="71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69"/>
      <c r="C177" s="58" t="str">
        <f>IFERROR(VLOOKUP(B177 ,INVENTARIO!$B$2:C996,2,0),"")</f>
        <v/>
      </c>
      <c r="D177" s="71"/>
      <c r="E177" s="71"/>
      <c r="F177" s="61" t="str">
        <f t="shared" si="3"/>
        <v/>
      </c>
      <c r="G177" s="71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69"/>
      <c r="C178" s="58" t="str">
        <f>IFERROR(VLOOKUP(B178 ,INVENTARIO!$B$2:C996,2,0),"")</f>
        <v/>
      </c>
      <c r="D178" s="71"/>
      <c r="E178" s="71"/>
      <c r="F178" s="61" t="str">
        <f t="shared" si="3"/>
        <v/>
      </c>
      <c r="G178" s="71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69"/>
      <c r="C179" s="58" t="str">
        <f>IFERROR(VLOOKUP(B179 ,INVENTARIO!$B$2:C996,2,0),"")</f>
        <v/>
      </c>
      <c r="D179" s="71"/>
      <c r="E179" s="71"/>
      <c r="F179" s="61" t="str">
        <f t="shared" si="3"/>
        <v/>
      </c>
      <c r="G179" s="71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69"/>
      <c r="C180" s="58" t="str">
        <f>IFERROR(VLOOKUP(B180 ,INVENTARIO!$B$2:C996,2,0),"")</f>
        <v/>
      </c>
      <c r="D180" s="71"/>
      <c r="E180" s="71"/>
      <c r="F180" s="61" t="str">
        <f t="shared" si="3"/>
        <v/>
      </c>
      <c r="G180" s="71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69"/>
      <c r="C181" s="58" t="str">
        <f>IFERROR(VLOOKUP(B181 ,INVENTARIO!$B$2:C996,2,0),"")</f>
        <v/>
      </c>
      <c r="D181" s="71"/>
      <c r="E181" s="71"/>
      <c r="F181" s="61" t="str">
        <f t="shared" si="3"/>
        <v/>
      </c>
      <c r="G181" s="71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69"/>
      <c r="C182" s="58" t="str">
        <f>IFERROR(VLOOKUP(B182 ,INVENTARIO!$B$2:C996,2,0),"")</f>
        <v/>
      </c>
      <c r="D182" s="71"/>
      <c r="E182" s="71"/>
      <c r="F182" s="61" t="str">
        <f t="shared" si="3"/>
        <v/>
      </c>
      <c r="G182" s="71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69"/>
      <c r="C183" s="58" t="str">
        <f>IFERROR(VLOOKUP(B183 ,INVENTARIO!$B$2:C996,2,0),"")</f>
        <v/>
      </c>
      <c r="D183" s="71"/>
      <c r="E183" s="71"/>
      <c r="F183" s="61" t="str">
        <f t="shared" si="3"/>
        <v/>
      </c>
      <c r="G183" s="71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69"/>
      <c r="C184" s="58" t="str">
        <f>IFERROR(VLOOKUP(B184 ,INVENTARIO!$B$2:C996,2,0),"")</f>
        <v/>
      </c>
      <c r="D184" s="71"/>
      <c r="E184" s="71"/>
      <c r="F184" s="61" t="str">
        <f t="shared" si="3"/>
        <v/>
      </c>
      <c r="G184" s="71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69"/>
      <c r="C185" s="58" t="str">
        <f>IFERROR(VLOOKUP(B185 ,INVENTARIO!$B$2:C996,2,0),"")</f>
        <v/>
      </c>
      <c r="D185" s="71"/>
      <c r="E185" s="71"/>
      <c r="F185" s="61" t="str">
        <f t="shared" si="3"/>
        <v/>
      </c>
      <c r="G185" s="71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69"/>
      <c r="C186" s="58" t="str">
        <f>IFERROR(VLOOKUP(B186 ,INVENTARIO!$B$2:C996,2,0),"")</f>
        <v/>
      </c>
      <c r="D186" s="71"/>
      <c r="E186" s="71"/>
      <c r="F186" s="61" t="str">
        <f t="shared" si="3"/>
        <v/>
      </c>
      <c r="G186" s="71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69"/>
      <c r="C187" s="58" t="str">
        <f>IFERROR(VLOOKUP(B187 ,INVENTARIO!$B$2:C996,2,0),"")</f>
        <v/>
      </c>
      <c r="D187" s="71"/>
      <c r="E187" s="71"/>
      <c r="F187" s="61" t="str">
        <f t="shared" si="3"/>
        <v/>
      </c>
      <c r="G187" s="71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69"/>
      <c r="C188" s="58" t="str">
        <f>IFERROR(VLOOKUP(B188 ,INVENTARIO!$B$2:C996,2,0),"")</f>
        <v/>
      </c>
      <c r="D188" s="71"/>
      <c r="E188" s="71"/>
      <c r="F188" s="61" t="str">
        <f t="shared" si="3"/>
        <v/>
      </c>
      <c r="G188" s="71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69"/>
      <c r="C189" s="58" t="str">
        <f>IFERROR(VLOOKUP(B189 ,INVENTARIO!$B$2:C996,2,0),"")</f>
        <v/>
      </c>
      <c r="D189" s="71"/>
      <c r="E189" s="71"/>
      <c r="F189" s="61" t="str">
        <f t="shared" si="3"/>
        <v/>
      </c>
      <c r="G189" s="71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69"/>
      <c r="C190" s="58" t="str">
        <f>IFERROR(VLOOKUP(B190 ,INVENTARIO!$B$2:C996,2,0),"")</f>
        <v/>
      </c>
      <c r="D190" s="71"/>
      <c r="E190" s="71"/>
      <c r="F190" s="61" t="str">
        <f t="shared" si="3"/>
        <v/>
      </c>
      <c r="G190" s="71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69"/>
      <c r="C191" s="58" t="str">
        <f>IFERROR(VLOOKUP(B191 ,INVENTARIO!$B$2:C996,2,0),"")</f>
        <v/>
      </c>
      <c r="D191" s="71"/>
      <c r="E191" s="71"/>
      <c r="F191" s="61" t="str">
        <f t="shared" si="3"/>
        <v/>
      </c>
      <c r="G191" s="71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69"/>
      <c r="C192" s="58" t="str">
        <f>IFERROR(VLOOKUP(B192 ,INVENTARIO!$B$2:C996,2,0),"")</f>
        <v/>
      </c>
      <c r="D192" s="71"/>
      <c r="E192" s="71"/>
      <c r="F192" s="61" t="str">
        <f t="shared" si="3"/>
        <v/>
      </c>
      <c r="G192" s="71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69"/>
      <c r="C193" s="58" t="str">
        <f>IFERROR(VLOOKUP(B193 ,INVENTARIO!$B$2:C996,2,0),"")</f>
        <v/>
      </c>
      <c r="D193" s="71"/>
      <c r="E193" s="71"/>
      <c r="F193" s="61" t="str">
        <f t="shared" si="3"/>
        <v/>
      </c>
      <c r="G193" s="71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69"/>
      <c r="C194" s="58" t="str">
        <f>IFERROR(VLOOKUP(B194 ,INVENTARIO!$B$2:C996,2,0),"")</f>
        <v/>
      </c>
      <c r="D194" s="71"/>
      <c r="E194" s="71"/>
      <c r="F194" s="61" t="str">
        <f t="shared" si="3"/>
        <v/>
      </c>
      <c r="G194" s="71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69"/>
      <c r="C195" s="58" t="str">
        <f>IFERROR(VLOOKUP(B195 ,INVENTARIO!$B$2:C996,2,0),"")</f>
        <v/>
      </c>
      <c r="D195" s="71"/>
      <c r="E195" s="71"/>
      <c r="F195" s="61" t="str">
        <f t="shared" si="3"/>
        <v/>
      </c>
      <c r="G195" s="71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69"/>
      <c r="C196" s="58" t="str">
        <f>IFERROR(VLOOKUP(B196 ,INVENTARIO!$B$2:C996,2,0),"")</f>
        <v/>
      </c>
      <c r="D196" s="71"/>
      <c r="E196" s="71"/>
      <c r="F196" s="61" t="str">
        <f t="shared" si="3"/>
        <v/>
      </c>
      <c r="G196" s="71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69"/>
      <c r="C197" s="58" t="str">
        <f>IFERROR(VLOOKUP(B197 ,INVENTARIO!$B$2:C996,2,0),"")</f>
        <v/>
      </c>
      <c r="D197" s="71"/>
      <c r="E197" s="71"/>
      <c r="F197" s="61" t="str">
        <f t="shared" si="3"/>
        <v/>
      </c>
      <c r="G197" s="71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69"/>
      <c r="C198" s="58" t="str">
        <f>IFERROR(VLOOKUP(B198 ,INVENTARIO!$B$2:C996,2,0),"")</f>
        <v/>
      </c>
      <c r="D198" s="71"/>
      <c r="E198" s="71"/>
      <c r="F198" s="61" t="str">
        <f t="shared" si="3"/>
        <v/>
      </c>
      <c r="G198" s="71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69"/>
      <c r="C199" s="58" t="str">
        <f>IFERROR(VLOOKUP(B199 ,INVENTARIO!$B$2:C996,2,0),"")</f>
        <v/>
      </c>
      <c r="D199" s="71"/>
      <c r="E199" s="71"/>
      <c r="F199" s="61" t="str">
        <f t="shared" si="3"/>
        <v/>
      </c>
      <c r="G199" s="71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69"/>
      <c r="C200" s="58" t="str">
        <f>IFERROR(VLOOKUP(B200 ,INVENTARIO!$B$2:C996,2,0),"")</f>
        <v/>
      </c>
      <c r="D200" s="71"/>
      <c r="E200" s="71"/>
      <c r="F200" s="61" t="str">
        <f t="shared" si="3"/>
        <v/>
      </c>
      <c r="G200" s="71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69"/>
      <c r="C201" s="58" t="str">
        <f>IFERROR(VLOOKUP(B201 ,INVENTARIO!$B$2:C996,2,0),"")</f>
        <v/>
      </c>
      <c r="D201" s="71"/>
      <c r="E201" s="71"/>
      <c r="F201" s="61" t="str">
        <f t="shared" si="3"/>
        <v/>
      </c>
      <c r="G201" s="71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69"/>
      <c r="C202" s="58" t="str">
        <f>IFERROR(VLOOKUP(B202 ,INVENTARIO!$B$2:C996,2,0),"")</f>
        <v/>
      </c>
      <c r="D202" s="71"/>
      <c r="E202" s="71"/>
      <c r="F202" s="61" t="str">
        <f t="shared" si="3"/>
        <v/>
      </c>
      <c r="G202" s="71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69"/>
      <c r="C203" s="58" t="str">
        <f>IFERROR(VLOOKUP(B203 ,INVENTARIO!$B$2:C996,2,0),"")</f>
        <v/>
      </c>
      <c r="D203" s="71"/>
      <c r="E203" s="71"/>
      <c r="F203" s="61" t="str">
        <f t="shared" si="3"/>
        <v/>
      </c>
      <c r="G203" s="71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69"/>
      <c r="C204" s="58" t="str">
        <f>IFERROR(VLOOKUP(B204 ,INVENTARIO!$B$2:C996,2,0),"")</f>
        <v/>
      </c>
      <c r="D204" s="71"/>
      <c r="E204" s="71"/>
      <c r="F204" s="61" t="str">
        <f t="shared" si="3"/>
        <v/>
      </c>
      <c r="G204" s="71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69"/>
      <c r="C205" s="58" t="str">
        <f>IFERROR(VLOOKUP(B205 ,INVENTARIO!$B$2:C996,2,0),"")</f>
        <v/>
      </c>
      <c r="D205" s="71"/>
      <c r="E205" s="71"/>
      <c r="F205" s="61" t="str">
        <f t="shared" si="3"/>
        <v/>
      </c>
      <c r="G205" s="71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69"/>
      <c r="C206" s="58" t="str">
        <f>IFERROR(VLOOKUP(B206 ,INVENTARIO!$B$2:C996,2,0),"")</f>
        <v/>
      </c>
      <c r="D206" s="71"/>
      <c r="E206" s="71"/>
      <c r="F206" s="61" t="str">
        <f t="shared" si="3"/>
        <v/>
      </c>
      <c r="G206" s="71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69"/>
      <c r="C207" s="58" t="str">
        <f>IFERROR(VLOOKUP(B207 ,INVENTARIO!$B$2:C996,2,0),"")</f>
        <v/>
      </c>
      <c r="D207" s="71"/>
      <c r="E207" s="71"/>
      <c r="F207" s="61" t="str">
        <f t="shared" si="3"/>
        <v/>
      </c>
      <c r="G207" s="71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69"/>
      <c r="C208" s="58" t="str">
        <f>IFERROR(VLOOKUP(B208 ,INVENTARIO!$B$2:C996,2,0),"")</f>
        <v/>
      </c>
      <c r="D208" s="71"/>
      <c r="E208" s="71"/>
      <c r="F208" s="61" t="str">
        <f t="shared" si="3"/>
        <v/>
      </c>
      <c r="G208" s="71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69"/>
      <c r="C209" s="58" t="str">
        <f>IFERROR(VLOOKUP(B209 ,INVENTARIO!$B$2:C996,2,0),"")</f>
        <v/>
      </c>
      <c r="D209" s="71"/>
      <c r="E209" s="71"/>
      <c r="F209" s="61" t="str">
        <f t="shared" si="3"/>
        <v/>
      </c>
      <c r="G209" s="71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69"/>
      <c r="C210" s="58" t="str">
        <f>IFERROR(VLOOKUP(B210 ,INVENTARIO!$B$2:C996,2,0),"")</f>
        <v/>
      </c>
      <c r="D210" s="71"/>
      <c r="E210" s="71"/>
      <c r="F210" s="61" t="str">
        <f t="shared" si="3"/>
        <v/>
      </c>
      <c r="G210" s="71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69"/>
      <c r="C211" s="58" t="str">
        <f>IFERROR(VLOOKUP(B211 ,INVENTARIO!$B$2:C996,2,0),"")</f>
        <v/>
      </c>
      <c r="D211" s="71"/>
      <c r="E211" s="71"/>
      <c r="F211" s="61" t="str">
        <f t="shared" si="3"/>
        <v/>
      </c>
      <c r="G211" s="71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69"/>
      <c r="C212" s="58" t="str">
        <f>IFERROR(VLOOKUP(B212 ,INVENTARIO!$B$2:C996,2,0),"")</f>
        <v/>
      </c>
      <c r="D212" s="71"/>
      <c r="E212" s="71"/>
      <c r="F212" s="61" t="str">
        <f t="shared" si="3"/>
        <v/>
      </c>
      <c r="G212" s="71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69"/>
      <c r="C213" s="58" t="str">
        <f>IFERROR(VLOOKUP(B213 ,INVENTARIO!$B$2:C996,2,0),"")</f>
        <v/>
      </c>
      <c r="D213" s="71"/>
      <c r="E213" s="71"/>
      <c r="F213" s="61" t="str">
        <f t="shared" si="3"/>
        <v/>
      </c>
      <c r="G213" s="71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69"/>
      <c r="C214" s="58" t="str">
        <f>IFERROR(VLOOKUP(B214 ,INVENTARIO!$B$2:C996,2,0),"")</f>
        <v/>
      </c>
      <c r="D214" s="71"/>
      <c r="E214" s="71"/>
      <c r="F214" s="61" t="str">
        <f t="shared" si="3"/>
        <v/>
      </c>
      <c r="G214" s="71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69"/>
      <c r="C215" s="58" t="str">
        <f>IFERROR(VLOOKUP(B215 ,INVENTARIO!$B$2:C996,2,0),"")</f>
        <v/>
      </c>
      <c r="D215" s="71"/>
      <c r="E215" s="71"/>
      <c r="F215" s="61" t="str">
        <f t="shared" si="3"/>
        <v/>
      </c>
      <c r="G215" s="71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69"/>
      <c r="C216" s="58" t="str">
        <f>IFERROR(VLOOKUP(B216 ,INVENTARIO!$B$2:C996,2,0),"")</f>
        <v/>
      </c>
      <c r="D216" s="71"/>
      <c r="E216" s="71"/>
      <c r="F216" s="61" t="str">
        <f t="shared" si="3"/>
        <v/>
      </c>
      <c r="G216" s="71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69"/>
      <c r="C217" s="58" t="str">
        <f>IFERROR(VLOOKUP(B217 ,INVENTARIO!$B$2:C996,2,0),"")</f>
        <v/>
      </c>
      <c r="D217" s="71"/>
      <c r="E217" s="71"/>
      <c r="F217" s="61" t="str">
        <f t="shared" si="3"/>
        <v/>
      </c>
      <c r="G217" s="71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69"/>
      <c r="C218" s="58" t="str">
        <f>IFERROR(VLOOKUP(B218 ,INVENTARIO!$B$2:C996,2,0),"")</f>
        <v/>
      </c>
      <c r="D218" s="71"/>
      <c r="E218" s="71"/>
      <c r="F218" s="61" t="str">
        <f t="shared" si="3"/>
        <v/>
      </c>
      <c r="G218" s="71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69"/>
      <c r="C219" s="58" t="str">
        <f>IFERROR(VLOOKUP(B219 ,INVENTARIO!$B$2:C996,2,0),"")</f>
        <v/>
      </c>
      <c r="D219" s="71"/>
      <c r="E219" s="71"/>
      <c r="F219" s="61" t="str">
        <f t="shared" si="3"/>
        <v/>
      </c>
      <c r="G219" s="71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69"/>
      <c r="C220" s="58" t="str">
        <f>IFERROR(VLOOKUP(B220 ,INVENTARIO!$B$2:C996,2,0),"")</f>
        <v/>
      </c>
      <c r="D220" s="71"/>
      <c r="E220" s="71"/>
      <c r="F220" s="61" t="str">
        <f t="shared" si="3"/>
        <v/>
      </c>
      <c r="G220" s="71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69"/>
      <c r="C221" s="58" t="str">
        <f>IFERROR(VLOOKUP(B221 ,INVENTARIO!$B$2:C996,2,0),"")</f>
        <v/>
      </c>
      <c r="D221" s="71"/>
      <c r="E221" s="71"/>
      <c r="F221" s="61" t="str">
        <f t="shared" si="3"/>
        <v/>
      </c>
      <c r="G221" s="71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69"/>
      <c r="C222" s="58" t="str">
        <f>IFERROR(VLOOKUP(B222 ,INVENTARIO!$B$2:C996,2,0),"")</f>
        <v/>
      </c>
      <c r="D222" s="71"/>
      <c r="E222" s="71"/>
      <c r="F222" s="61" t="str">
        <f t="shared" si="3"/>
        <v/>
      </c>
      <c r="G222" s="71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69"/>
      <c r="C223" s="58" t="str">
        <f>IFERROR(VLOOKUP(B223 ,INVENTARIO!$B$2:C996,2,0),"")</f>
        <v/>
      </c>
      <c r="D223" s="71"/>
      <c r="E223" s="71"/>
      <c r="F223" s="61" t="str">
        <f t="shared" si="3"/>
        <v/>
      </c>
      <c r="G223" s="71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69"/>
      <c r="C224" s="58" t="str">
        <f>IFERROR(VLOOKUP(B224 ,INVENTARIO!$B$2:C996,2,0),"")</f>
        <v/>
      </c>
      <c r="D224" s="71"/>
      <c r="E224" s="71"/>
      <c r="F224" s="61" t="str">
        <f t="shared" si="3"/>
        <v/>
      </c>
      <c r="G224" s="71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69"/>
      <c r="C225" s="58" t="str">
        <f>IFERROR(VLOOKUP(B225 ,INVENTARIO!$B$2:C996,2,0),"")</f>
        <v/>
      </c>
      <c r="D225" s="71"/>
      <c r="E225" s="71"/>
      <c r="F225" s="61" t="str">
        <f t="shared" si="3"/>
        <v/>
      </c>
      <c r="G225" s="71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69"/>
      <c r="C226" s="58" t="str">
        <f>IFERROR(VLOOKUP(B226 ,INVENTARIO!$B$2:C996,2,0),"")</f>
        <v/>
      </c>
      <c r="D226" s="71"/>
      <c r="E226" s="71"/>
      <c r="F226" s="61" t="str">
        <f t="shared" si="3"/>
        <v/>
      </c>
      <c r="G226" s="71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69"/>
      <c r="C227" s="58" t="str">
        <f>IFERROR(VLOOKUP(B227 ,INVENTARIO!$B$2:C996,2,0),"")</f>
        <v/>
      </c>
      <c r="D227" s="71"/>
      <c r="E227" s="71"/>
      <c r="F227" s="61" t="str">
        <f t="shared" si="3"/>
        <v/>
      </c>
      <c r="G227" s="71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69"/>
      <c r="C228" s="58" t="str">
        <f>IFERROR(VLOOKUP(B228 ,INVENTARIO!$B$2:C996,2,0),"")</f>
        <v/>
      </c>
      <c r="D228" s="71"/>
      <c r="E228" s="71"/>
      <c r="F228" s="61" t="str">
        <f t="shared" si="3"/>
        <v/>
      </c>
      <c r="G228" s="71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69"/>
      <c r="C229" s="58" t="str">
        <f>IFERROR(VLOOKUP(B229 ,INVENTARIO!$B$2:C996,2,0),"")</f>
        <v/>
      </c>
      <c r="D229" s="71"/>
      <c r="E229" s="71"/>
      <c r="F229" s="61" t="str">
        <f t="shared" si="3"/>
        <v/>
      </c>
      <c r="G229" s="71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69"/>
      <c r="C230" s="58" t="str">
        <f>IFERROR(VLOOKUP(B230 ,INVENTARIO!$B$2:C996,2,0),"")</f>
        <v/>
      </c>
      <c r="D230" s="71"/>
      <c r="E230" s="71"/>
      <c r="F230" s="61" t="str">
        <f t="shared" si="3"/>
        <v/>
      </c>
      <c r="G230" s="71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69"/>
      <c r="C231" s="58" t="str">
        <f>IFERROR(VLOOKUP(B231 ,INVENTARIO!$B$2:C996,2,0),"")</f>
        <v/>
      </c>
      <c r="D231" s="71"/>
      <c r="E231" s="71"/>
      <c r="F231" s="61" t="str">
        <f t="shared" si="3"/>
        <v/>
      </c>
      <c r="G231" s="71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69"/>
      <c r="C232" s="58" t="str">
        <f>IFERROR(VLOOKUP(B232 ,INVENTARIO!$B$2:C996,2,0),"")</f>
        <v/>
      </c>
      <c r="D232" s="71"/>
      <c r="E232" s="71"/>
      <c r="F232" s="61" t="str">
        <f t="shared" si="3"/>
        <v/>
      </c>
      <c r="G232" s="71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69"/>
      <c r="C233" s="58" t="str">
        <f>IFERROR(VLOOKUP(B233 ,INVENTARIO!$B$2:C996,2,0),"")</f>
        <v/>
      </c>
      <c r="D233" s="71"/>
      <c r="E233" s="71"/>
      <c r="F233" s="61" t="str">
        <f t="shared" si="3"/>
        <v/>
      </c>
      <c r="G233" s="71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69"/>
      <c r="C234" s="58" t="str">
        <f>IFERROR(VLOOKUP(B234 ,INVENTARIO!$B$2:C996,2,0),"")</f>
        <v/>
      </c>
      <c r="D234" s="71"/>
      <c r="E234" s="71"/>
      <c r="F234" s="61" t="str">
        <f t="shared" si="3"/>
        <v/>
      </c>
      <c r="G234" s="71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69"/>
      <c r="C235" s="58" t="str">
        <f>IFERROR(VLOOKUP(B235 ,INVENTARIO!$B$2:C996,2,0),"")</f>
        <v/>
      </c>
      <c r="D235" s="71"/>
      <c r="E235" s="71"/>
      <c r="F235" s="61" t="str">
        <f t="shared" si="3"/>
        <v/>
      </c>
      <c r="G235" s="7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69"/>
      <c r="C236" s="58" t="str">
        <f>IFERROR(VLOOKUP(B236 ,INVENTARIO!$B$2:C996,2,0),"")</f>
        <v/>
      </c>
      <c r="D236" s="71"/>
      <c r="E236" s="71"/>
      <c r="F236" s="61" t="str">
        <f t="shared" si="3"/>
        <v/>
      </c>
      <c r="G236" s="71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69"/>
      <c r="C237" s="58" t="str">
        <f>IFERROR(VLOOKUP(B237 ,INVENTARIO!$B$2:C996,2,0),"")</f>
        <v/>
      </c>
      <c r="D237" s="71"/>
      <c r="E237" s="71"/>
      <c r="F237" s="61" t="str">
        <f t="shared" si="3"/>
        <v/>
      </c>
      <c r="G237" s="71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69"/>
      <c r="C238" s="58" t="str">
        <f>IFERROR(VLOOKUP(B238 ,INVENTARIO!$B$2:C996,2,0),"")</f>
        <v/>
      </c>
      <c r="D238" s="71"/>
      <c r="E238" s="71"/>
      <c r="F238" s="61" t="str">
        <f t="shared" si="3"/>
        <v/>
      </c>
      <c r="G238" s="7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69"/>
      <c r="C239" s="58" t="str">
        <f>IFERROR(VLOOKUP(B239 ,INVENTARIO!$B$2:C996,2,0),"")</f>
        <v/>
      </c>
      <c r="D239" s="71"/>
      <c r="E239" s="71"/>
      <c r="F239" s="61" t="str">
        <f t="shared" si="3"/>
        <v/>
      </c>
      <c r="G239" s="7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69"/>
      <c r="C240" s="58" t="str">
        <f>IFERROR(VLOOKUP(B240 ,INVENTARIO!$B$2:C996,2,0),"")</f>
        <v/>
      </c>
      <c r="D240" s="71"/>
      <c r="E240" s="71"/>
      <c r="F240" s="61" t="str">
        <f t="shared" si="3"/>
        <v/>
      </c>
      <c r="G240" s="71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69"/>
      <c r="C241" s="58" t="str">
        <f>IFERROR(VLOOKUP(B241 ,INVENTARIO!$B$2:C996,2,0),"")</f>
        <v/>
      </c>
      <c r="D241" s="71"/>
      <c r="E241" s="71"/>
      <c r="F241" s="61" t="str">
        <f t="shared" si="3"/>
        <v/>
      </c>
      <c r="G241" s="71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69"/>
      <c r="C242" s="58" t="str">
        <f>IFERROR(VLOOKUP(B242 ,INVENTARIO!$B$2:C996,2,0),"")</f>
        <v/>
      </c>
      <c r="D242" s="71"/>
      <c r="E242" s="71"/>
      <c r="F242" s="61" t="str">
        <f t="shared" si="3"/>
        <v/>
      </c>
      <c r="G242" s="71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69"/>
      <c r="C243" s="58" t="str">
        <f>IFERROR(VLOOKUP(B243 ,INVENTARIO!$B$2:C996,2,0),"")</f>
        <v/>
      </c>
      <c r="D243" s="71"/>
      <c r="E243" s="71"/>
      <c r="F243" s="61" t="str">
        <f t="shared" si="3"/>
        <v/>
      </c>
      <c r="G243" s="71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69"/>
      <c r="C244" s="58" t="str">
        <f>IFERROR(VLOOKUP(B244 ,INVENTARIO!$B$2:C996,2,0),"")</f>
        <v/>
      </c>
      <c r="D244" s="71"/>
      <c r="E244" s="71"/>
      <c r="F244" s="61" t="str">
        <f t="shared" si="3"/>
        <v/>
      </c>
      <c r="G244" s="71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69"/>
      <c r="C245" s="58" t="str">
        <f>IFERROR(VLOOKUP(B245 ,INVENTARIO!$B$2:C996,2,0),"")</f>
        <v/>
      </c>
      <c r="D245" s="71"/>
      <c r="E245" s="71"/>
      <c r="F245" s="61" t="str">
        <f t="shared" si="3"/>
        <v/>
      </c>
      <c r="G245" s="71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69"/>
      <c r="C246" s="58" t="str">
        <f>IFERROR(VLOOKUP(B246 ,INVENTARIO!$B$2:C996,2,0),"")</f>
        <v/>
      </c>
      <c r="D246" s="71"/>
      <c r="E246" s="71"/>
      <c r="F246" s="61" t="str">
        <f t="shared" si="3"/>
        <v/>
      </c>
      <c r="G246" s="71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69"/>
      <c r="C247" s="58" t="str">
        <f>IFERROR(VLOOKUP(B247 ,INVENTARIO!$B$2:C996,2,0),"")</f>
        <v/>
      </c>
      <c r="D247" s="71"/>
      <c r="E247" s="71"/>
      <c r="F247" s="61" t="str">
        <f t="shared" si="3"/>
        <v/>
      </c>
      <c r="G247" s="71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69"/>
      <c r="C248" s="58" t="str">
        <f>IFERROR(VLOOKUP(B248 ,INVENTARIO!$B$2:C996,2,0),"")</f>
        <v/>
      </c>
      <c r="D248" s="71"/>
      <c r="E248" s="71"/>
      <c r="F248" s="61" t="str">
        <f t="shared" si="3"/>
        <v/>
      </c>
      <c r="G248" s="71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69"/>
      <c r="C249" s="58" t="str">
        <f>IFERROR(VLOOKUP(B249 ,INVENTARIO!$B$2:C996,2,0),"")</f>
        <v/>
      </c>
      <c r="D249" s="71"/>
      <c r="E249" s="71"/>
      <c r="F249" s="61" t="str">
        <f t="shared" si="3"/>
        <v/>
      </c>
      <c r="G249" s="71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69"/>
      <c r="C250" s="58" t="str">
        <f>IFERROR(VLOOKUP(B250 ,INVENTARIO!$B$2:C996,2,0),"")</f>
        <v/>
      </c>
      <c r="D250" s="71"/>
      <c r="E250" s="71"/>
      <c r="F250" s="61" t="str">
        <f t="shared" si="3"/>
        <v/>
      </c>
      <c r="G250" s="71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69"/>
      <c r="C251" s="58" t="str">
        <f>IFERROR(VLOOKUP(B251 ,INVENTARIO!$B$2:C996,2,0),"")</f>
        <v/>
      </c>
      <c r="D251" s="71"/>
      <c r="E251" s="71"/>
      <c r="F251" s="61" t="str">
        <f t="shared" si="3"/>
        <v/>
      </c>
      <c r="G251" s="71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69"/>
      <c r="C252" s="58" t="str">
        <f>IFERROR(VLOOKUP(B252 ,INVENTARIO!$B$2:C996,2,0),"")</f>
        <v/>
      </c>
      <c r="D252" s="71"/>
      <c r="E252" s="71"/>
      <c r="F252" s="61" t="str">
        <f t="shared" si="3"/>
        <v/>
      </c>
      <c r="G252" s="71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69"/>
      <c r="C253" s="58" t="str">
        <f>IFERROR(VLOOKUP(B253 ,INVENTARIO!$B$2:C996,2,0),"")</f>
        <v/>
      </c>
      <c r="D253" s="71"/>
      <c r="E253" s="71"/>
      <c r="F253" s="61" t="str">
        <f t="shared" si="3"/>
        <v/>
      </c>
      <c r="G253" s="71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69"/>
      <c r="C254" s="58" t="str">
        <f>IFERROR(VLOOKUP(B254 ,INVENTARIO!$B$2:C996,2,0),"")</f>
        <v/>
      </c>
      <c r="D254" s="71"/>
      <c r="E254" s="71"/>
      <c r="F254" s="61" t="str">
        <f t="shared" si="3"/>
        <v/>
      </c>
      <c r="G254" s="71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69"/>
      <c r="C255" s="58" t="str">
        <f>IFERROR(VLOOKUP(B255 ,INVENTARIO!$B$2:C996,2,0),"")</f>
        <v/>
      </c>
      <c r="D255" s="71"/>
      <c r="E255" s="71"/>
      <c r="F255" s="61" t="str">
        <f t="shared" si="3"/>
        <v/>
      </c>
      <c r="G255" s="71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69"/>
      <c r="C256" s="58" t="str">
        <f>IFERROR(VLOOKUP(B256 ,INVENTARIO!$B$2:C996,2,0),"")</f>
        <v/>
      </c>
      <c r="D256" s="71"/>
      <c r="E256" s="71"/>
      <c r="F256" s="61" t="str">
        <f t="shared" si="3"/>
        <v/>
      </c>
      <c r="G256" s="71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69"/>
      <c r="C257" s="58" t="str">
        <f>IFERROR(VLOOKUP(B257 ,INVENTARIO!$B$2:C996,2,0),"")</f>
        <v/>
      </c>
      <c r="D257" s="71"/>
      <c r="E257" s="71"/>
      <c r="F257" s="61" t="str">
        <f t="shared" si="3"/>
        <v/>
      </c>
      <c r="G257" s="71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69"/>
      <c r="C258" s="58" t="str">
        <f>IFERROR(VLOOKUP(B258 ,INVENTARIO!$B$2:C996,2,0),"")</f>
        <v/>
      </c>
      <c r="D258" s="71"/>
      <c r="E258" s="71"/>
      <c r="F258" s="61" t="str">
        <f t="shared" si="3"/>
        <v/>
      </c>
      <c r="G258" s="71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69"/>
      <c r="C259" s="58" t="str">
        <f>IFERROR(VLOOKUP(B259 ,INVENTARIO!$B$2:C996,2,0),"")</f>
        <v/>
      </c>
      <c r="D259" s="71"/>
      <c r="E259" s="71"/>
      <c r="F259" s="61" t="str">
        <f t="shared" si="3"/>
        <v/>
      </c>
      <c r="G259" s="71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69"/>
      <c r="C260" s="58" t="str">
        <f>IFERROR(VLOOKUP(B260 ,INVENTARIO!$B$2:C996,2,0),"")</f>
        <v/>
      </c>
      <c r="D260" s="71"/>
      <c r="E260" s="71"/>
      <c r="F260" s="61" t="str">
        <f t="shared" si="3"/>
        <v/>
      </c>
      <c r="G260" s="71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69"/>
      <c r="C261" s="58" t="str">
        <f>IFERROR(VLOOKUP(B261 ,INVENTARIO!$B$2:C996,2,0),"")</f>
        <v/>
      </c>
      <c r="D261" s="71"/>
      <c r="E261" s="71"/>
      <c r="F261" s="61" t="str">
        <f t="shared" si="3"/>
        <v/>
      </c>
      <c r="G261" s="71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69"/>
      <c r="C262" s="58" t="str">
        <f>IFERROR(VLOOKUP(B262 ,INVENTARIO!$B$2:C996,2,0),"")</f>
        <v/>
      </c>
      <c r="D262" s="71"/>
      <c r="E262" s="71"/>
      <c r="F262" s="61" t="str">
        <f t="shared" si="3"/>
        <v/>
      </c>
      <c r="G262" s="71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69"/>
      <c r="C263" s="58" t="str">
        <f>IFERROR(VLOOKUP(B263 ,INVENTARIO!$B$2:C996,2,0),"")</f>
        <v/>
      </c>
      <c r="D263" s="71"/>
      <c r="E263" s="71"/>
      <c r="F263" s="61" t="str">
        <f t="shared" si="3"/>
        <v/>
      </c>
      <c r="G263" s="71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69"/>
      <c r="C264" s="58" t="str">
        <f>IFERROR(VLOOKUP(B264 ,INVENTARIO!$B$2:C996,2,0),"")</f>
        <v/>
      </c>
      <c r="D264" s="71"/>
      <c r="E264" s="71"/>
      <c r="F264" s="61" t="str">
        <f t="shared" si="3"/>
        <v/>
      </c>
      <c r="G264" s="71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69"/>
      <c r="C265" s="58" t="str">
        <f>IFERROR(VLOOKUP(B265 ,INVENTARIO!$B$2:C996,2,0),"")</f>
        <v/>
      </c>
      <c r="D265" s="71"/>
      <c r="E265" s="71"/>
      <c r="F265" s="61" t="str">
        <f t="shared" si="3"/>
        <v/>
      </c>
      <c r="G265" s="71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69"/>
      <c r="C266" s="58" t="str">
        <f>IFERROR(VLOOKUP(B266 ,INVENTARIO!$B$2:C996,2,0),"")</f>
        <v/>
      </c>
      <c r="D266" s="71"/>
      <c r="E266" s="71"/>
      <c r="F266" s="61" t="str">
        <f t="shared" si="3"/>
        <v/>
      </c>
      <c r="G266" s="71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69"/>
      <c r="C267" s="58" t="str">
        <f>IFERROR(VLOOKUP(B267 ,INVENTARIO!$B$2:C996,2,0),"")</f>
        <v/>
      </c>
      <c r="D267" s="71"/>
      <c r="E267" s="71"/>
      <c r="F267" s="61" t="str">
        <f t="shared" si="3"/>
        <v/>
      </c>
      <c r="G267" s="71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69"/>
      <c r="C268" s="58" t="str">
        <f>IFERROR(VLOOKUP(B268 ,INVENTARIO!$B$2:C996,2,0),"")</f>
        <v/>
      </c>
      <c r="D268" s="71"/>
      <c r="E268" s="71"/>
      <c r="F268" s="61" t="str">
        <f t="shared" si="3"/>
        <v/>
      </c>
      <c r="G268" s="71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69"/>
      <c r="C269" s="58" t="str">
        <f>IFERROR(VLOOKUP(B269 ,INVENTARIO!$B$2:C996,2,0),"")</f>
        <v/>
      </c>
      <c r="D269" s="71"/>
      <c r="E269" s="71"/>
      <c r="F269" s="61" t="str">
        <f t="shared" si="3"/>
        <v/>
      </c>
      <c r="G269" s="71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69"/>
      <c r="C270" s="58" t="str">
        <f>IFERROR(VLOOKUP(B270 ,INVENTARIO!$B$2:C996,2,0),"")</f>
        <v/>
      </c>
      <c r="D270" s="71"/>
      <c r="E270" s="71"/>
      <c r="F270" s="61" t="str">
        <f t="shared" si="3"/>
        <v/>
      </c>
      <c r="G270" s="71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69"/>
      <c r="C271" s="58" t="str">
        <f>IFERROR(VLOOKUP(B271 ,INVENTARIO!$B$2:C996,2,0),"")</f>
        <v/>
      </c>
      <c r="D271" s="71"/>
      <c r="E271" s="71"/>
      <c r="F271" s="61" t="str">
        <f t="shared" si="3"/>
        <v/>
      </c>
      <c r="G271" s="71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69"/>
      <c r="C272" s="58" t="str">
        <f>IFERROR(VLOOKUP(B272 ,INVENTARIO!$B$2:C996,2,0),"")</f>
        <v/>
      </c>
      <c r="D272" s="71"/>
      <c r="E272" s="71"/>
      <c r="F272" s="61" t="str">
        <f t="shared" si="3"/>
        <v/>
      </c>
      <c r="G272" s="71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69"/>
      <c r="C273" s="58" t="str">
        <f>IFERROR(VLOOKUP(B273 ,INVENTARIO!$B$2:C996,2,0),"")</f>
        <v/>
      </c>
      <c r="D273" s="71"/>
      <c r="E273" s="71"/>
      <c r="F273" s="61" t="str">
        <f t="shared" si="3"/>
        <v/>
      </c>
      <c r="G273" s="71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69"/>
      <c r="C274" s="58" t="str">
        <f>IFERROR(VLOOKUP(B274 ,INVENTARIO!$B$2:C996,2,0),"")</f>
        <v/>
      </c>
      <c r="D274" s="71"/>
      <c r="E274" s="71"/>
      <c r="F274" s="61" t="str">
        <f t="shared" si="3"/>
        <v/>
      </c>
      <c r="G274" s="71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69"/>
      <c r="C275" s="58" t="str">
        <f>IFERROR(VLOOKUP(B275 ,INVENTARIO!$B$2:C996,2,0),"")</f>
        <v/>
      </c>
      <c r="D275" s="71"/>
      <c r="E275" s="71"/>
      <c r="F275" s="61" t="str">
        <f t="shared" si="3"/>
        <v/>
      </c>
      <c r="G275" s="71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69"/>
      <c r="C276" s="58" t="str">
        <f>IFERROR(VLOOKUP(B276 ,INVENTARIO!$B$2:C996,2,0),"")</f>
        <v/>
      </c>
      <c r="D276" s="71"/>
      <c r="E276" s="71"/>
      <c r="F276" s="61" t="str">
        <f t="shared" si="3"/>
        <v/>
      </c>
      <c r="G276" s="71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69"/>
      <c r="C277" s="58" t="str">
        <f>IFERROR(VLOOKUP(B277 ,INVENTARIO!$B$2:C996,2,0),"")</f>
        <v/>
      </c>
      <c r="D277" s="71"/>
      <c r="E277" s="71"/>
      <c r="F277" s="61" t="str">
        <f t="shared" si="3"/>
        <v/>
      </c>
      <c r="G277" s="71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69"/>
      <c r="C278" s="58" t="str">
        <f>IFERROR(VLOOKUP(B278 ,INVENTARIO!$B$2:C996,2,0),"")</f>
        <v/>
      </c>
      <c r="D278" s="71"/>
      <c r="E278" s="71"/>
      <c r="F278" s="61" t="str">
        <f t="shared" si="3"/>
        <v/>
      </c>
      <c r="G278" s="71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69"/>
      <c r="C279" s="58" t="str">
        <f>IFERROR(VLOOKUP(B279 ,INVENTARIO!$B$2:C996,2,0),"")</f>
        <v/>
      </c>
      <c r="D279" s="71"/>
      <c r="E279" s="71"/>
      <c r="F279" s="61" t="str">
        <f t="shared" si="3"/>
        <v/>
      </c>
      <c r="G279" s="71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69"/>
      <c r="C280" s="58" t="str">
        <f>IFERROR(VLOOKUP(B280 ,INVENTARIO!$B$2:C996,2,0),"")</f>
        <v/>
      </c>
      <c r="D280" s="71"/>
      <c r="E280" s="71"/>
      <c r="F280" s="61" t="str">
        <f t="shared" si="3"/>
        <v/>
      </c>
      <c r="G280" s="71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69"/>
      <c r="C281" s="58" t="str">
        <f>IFERROR(VLOOKUP(B281 ,INVENTARIO!$B$2:C996,2,0),"")</f>
        <v/>
      </c>
      <c r="D281" s="71"/>
      <c r="E281" s="71"/>
      <c r="F281" s="61" t="str">
        <f t="shared" si="3"/>
        <v/>
      </c>
      <c r="G281" s="71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69"/>
      <c r="C282" s="58" t="str">
        <f>IFERROR(VLOOKUP(B282 ,INVENTARIO!$B$2:C996,2,0),"")</f>
        <v/>
      </c>
      <c r="D282" s="71"/>
      <c r="E282" s="71"/>
      <c r="F282" s="61" t="str">
        <f t="shared" si="3"/>
        <v/>
      </c>
      <c r="G282" s="71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69"/>
      <c r="C283" s="58" t="str">
        <f>IFERROR(VLOOKUP(B283 ,INVENTARIO!$B$2:C996,2,0),"")</f>
        <v/>
      </c>
      <c r="D283" s="71"/>
      <c r="E283" s="71"/>
      <c r="F283" s="61" t="str">
        <f t="shared" si="3"/>
        <v/>
      </c>
      <c r="G283" s="71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69"/>
      <c r="C284" s="58" t="str">
        <f>IFERROR(VLOOKUP(B284 ,INVENTARIO!$B$2:C996,2,0),"")</f>
        <v/>
      </c>
      <c r="D284" s="71"/>
      <c r="E284" s="71"/>
      <c r="F284" s="61" t="str">
        <f t="shared" si="3"/>
        <v/>
      </c>
      <c r="G284" s="71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69"/>
      <c r="C285" s="58" t="str">
        <f>IFERROR(VLOOKUP(B285 ,INVENTARIO!$B$2:C996,2,0),"")</f>
        <v/>
      </c>
      <c r="D285" s="71"/>
      <c r="E285" s="71"/>
      <c r="F285" s="61" t="str">
        <f t="shared" si="3"/>
        <v/>
      </c>
      <c r="G285" s="71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69"/>
      <c r="C286" s="58" t="str">
        <f>IFERROR(VLOOKUP(B286 ,INVENTARIO!$B$2:C996,2,0),"")</f>
        <v/>
      </c>
      <c r="D286" s="71"/>
      <c r="E286" s="71"/>
      <c r="F286" s="61" t="str">
        <f t="shared" si="3"/>
        <v/>
      </c>
      <c r="G286" s="71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69"/>
      <c r="C287" s="58" t="str">
        <f>IFERROR(VLOOKUP(B287 ,INVENTARIO!$B$2:C996,2,0),"")</f>
        <v/>
      </c>
      <c r="D287" s="71"/>
      <c r="E287" s="71"/>
      <c r="F287" s="61" t="str">
        <f t="shared" si="3"/>
        <v/>
      </c>
      <c r="G287" s="71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69"/>
      <c r="C288" s="58" t="str">
        <f>IFERROR(VLOOKUP(B288 ,INVENTARIO!$B$2:C996,2,0),"")</f>
        <v/>
      </c>
      <c r="D288" s="71"/>
      <c r="E288" s="71"/>
      <c r="F288" s="61" t="str">
        <f t="shared" si="3"/>
        <v/>
      </c>
      <c r="G288" s="71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69"/>
      <c r="C289" s="58" t="str">
        <f>IFERROR(VLOOKUP(B289 ,INVENTARIO!$B$2:C996,2,0),"")</f>
        <v/>
      </c>
      <c r="D289" s="71"/>
      <c r="E289" s="71"/>
      <c r="F289" s="61" t="str">
        <f t="shared" si="3"/>
        <v/>
      </c>
      <c r="G289" s="71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69"/>
      <c r="C290" s="58" t="str">
        <f>IFERROR(VLOOKUP(B290 ,INVENTARIO!$B$2:C996,2,0),"")</f>
        <v/>
      </c>
      <c r="D290" s="71"/>
      <c r="E290" s="71"/>
      <c r="F290" s="61" t="str">
        <f t="shared" si="3"/>
        <v/>
      </c>
      <c r="G290" s="71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69"/>
      <c r="C291" s="58" t="str">
        <f>IFERROR(VLOOKUP(B291 ,INVENTARIO!$B$2:C996,2,0),"")</f>
        <v/>
      </c>
      <c r="D291" s="71"/>
      <c r="E291" s="71"/>
      <c r="F291" s="61" t="str">
        <f t="shared" si="3"/>
        <v/>
      </c>
      <c r="G291" s="71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69"/>
      <c r="C292" s="58" t="str">
        <f>IFERROR(VLOOKUP(B292 ,INVENTARIO!$B$2:C996,2,0),"")</f>
        <v/>
      </c>
      <c r="D292" s="71"/>
      <c r="E292" s="71"/>
      <c r="F292" s="61" t="str">
        <f t="shared" si="3"/>
        <v/>
      </c>
      <c r="G292" s="71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69"/>
      <c r="C293" s="58" t="str">
        <f>IFERROR(VLOOKUP(B293 ,INVENTARIO!$B$2:C996,2,0),"")</f>
        <v/>
      </c>
      <c r="D293" s="71"/>
      <c r="E293" s="71"/>
      <c r="F293" s="61" t="str">
        <f t="shared" si="3"/>
        <v/>
      </c>
      <c r="G293" s="71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69"/>
      <c r="C294" s="58" t="str">
        <f>IFERROR(VLOOKUP(B294 ,INVENTARIO!$B$2:C996,2,0),"")</f>
        <v/>
      </c>
      <c r="D294" s="71"/>
      <c r="E294" s="71"/>
      <c r="F294" s="61" t="str">
        <f t="shared" si="3"/>
        <v/>
      </c>
      <c r="G294" s="71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69"/>
      <c r="C295" s="58" t="str">
        <f>IFERROR(VLOOKUP(B295 ,INVENTARIO!$B$2:C996,2,0),"")</f>
        <v/>
      </c>
      <c r="D295" s="71"/>
      <c r="E295" s="71"/>
      <c r="F295" s="61" t="str">
        <f t="shared" si="3"/>
        <v/>
      </c>
      <c r="G295" s="71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69"/>
      <c r="C296" s="58" t="str">
        <f>IFERROR(VLOOKUP(B296 ,INVENTARIO!$B$2:C996,2,0),"")</f>
        <v/>
      </c>
      <c r="D296" s="71"/>
      <c r="E296" s="71"/>
      <c r="F296" s="61" t="str">
        <f t="shared" si="3"/>
        <v/>
      </c>
      <c r="G296" s="71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69"/>
      <c r="C297" s="58" t="str">
        <f>IFERROR(VLOOKUP(B297 ,INVENTARIO!$B$2:C996,2,0),"")</f>
        <v/>
      </c>
      <c r="D297" s="71"/>
      <c r="E297" s="71"/>
      <c r="F297" s="61" t="str">
        <f t="shared" si="3"/>
        <v/>
      </c>
      <c r="G297" s="71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69"/>
      <c r="C298" s="58" t="str">
        <f>IFERROR(VLOOKUP(B298 ,INVENTARIO!$B$2:C996,2,0),"")</f>
        <v/>
      </c>
      <c r="D298" s="71"/>
      <c r="E298" s="71"/>
      <c r="F298" s="61" t="str">
        <f t="shared" si="3"/>
        <v/>
      </c>
      <c r="G298" s="71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69"/>
      <c r="C299" s="58" t="str">
        <f>IFERROR(VLOOKUP(B299 ,INVENTARIO!$B$2:C996,2,0),"")</f>
        <v/>
      </c>
      <c r="D299" s="71"/>
      <c r="E299" s="71"/>
      <c r="F299" s="61" t="str">
        <f t="shared" si="3"/>
        <v/>
      </c>
      <c r="G299" s="71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69"/>
      <c r="C300" s="58" t="str">
        <f>IFERROR(VLOOKUP(B300 ,INVENTARIO!$B$2:C996,2,0),"")</f>
        <v/>
      </c>
      <c r="D300" s="71"/>
      <c r="E300" s="71"/>
      <c r="F300" s="61" t="str">
        <f t="shared" si="3"/>
        <v/>
      </c>
      <c r="G300" s="71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69"/>
      <c r="C301" s="58" t="str">
        <f>IFERROR(VLOOKUP(B301 ,INVENTARIO!$B$2:C996,2,0),"")</f>
        <v/>
      </c>
      <c r="D301" s="71"/>
      <c r="E301" s="71"/>
      <c r="F301" s="61" t="str">
        <f t="shared" si="3"/>
        <v/>
      </c>
      <c r="G301" s="71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69"/>
      <c r="C302" s="58" t="str">
        <f>IFERROR(VLOOKUP(B302 ,INVENTARIO!$B$2:C996,2,0),"")</f>
        <v/>
      </c>
      <c r="D302" s="71"/>
      <c r="E302" s="71"/>
      <c r="F302" s="61" t="str">
        <f t="shared" si="3"/>
        <v/>
      </c>
      <c r="G302" s="71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69"/>
      <c r="C303" s="58" t="str">
        <f>IFERROR(VLOOKUP(B303 ,INVENTARIO!$B$2:C996,2,0),"")</f>
        <v/>
      </c>
      <c r="D303" s="71"/>
      <c r="E303" s="71"/>
      <c r="F303" s="61" t="str">
        <f t="shared" si="3"/>
        <v/>
      </c>
      <c r="G303" s="71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69"/>
      <c r="C304" s="58" t="str">
        <f>IFERROR(VLOOKUP(B304 ,INVENTARIO!$B$2:C996,2,0),"")</f>
        <v/>
      </c>
      <c r="D304" s="71"/>
      <c r="E304" s="71"/>
      <c r="F304" s="61" t="str">
        <f t="shared" si="3"/>
        <v/>
      </c>
      <c r="G304" s="71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69"/>
      <c r="C305" s="58" t="str">
        <f>IFERROR(VLOOKUP(B305 ,INVENTARIO!$B$2:C996,2,0),"")</f>
        <v/>
      </c>
      <c r="D305" s="71"/>
      <c r="E305" s="71"/>
      <c r="F305" s="61" t="str">
        <f t="shared" si="3"/>
        <v/>
      </c>
      <c r="G305" s="71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69"/>
      <c r="C306" s="58" t="str">
        <f>IFERROR(VLOOKUP(B306 ,INVENTARIO!$B$2:C996,2,0),"")</f>
        <v/>
      </c>
      <c r="D306" s="71"/>
      <c r="E306" s="71"/>
      <c r="F306" s="61" t="str">
        <f t="shared" si="3"/>
        <v/>
      </c>
      <c r="G306" s="71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69"/>
      <c r="C307" s="58" t="str">
        <f>IFERROR(VLOOKUP(B307 ,INVENTARIO!$B$2:C996,2,0),"")</f>
        <v/>
      </c>
      <c r="D307" s="71"/>
      <c r="E307" s="71"/>
      <c r="F307" s="61" t="str">
        <f t="shared" si="3"/>
        <v/>
      </c>
      <c r="G307" s="71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69"/>
      <c r="C308" s="58" t="str">
        <f>IFERROR(VLOOKUP(B308 ,INVENTARIO!$B$2:C996,2,0),"")</f>
        <v/>
      </c>
      <c r="D308" s="71"/>
      <c r="E308" s="71"/>
      <c r="F308" s="61" t="str">
        <f t="shared" si="3"/>
        <v/>
      </c>
      <c r="G308" s="71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69"/>
      <c r="C309" s="58" t="str">
        <f>IFERROR(VLOOKUP(B309 ,INVENTARIO!$B$2:C996,2,0),"")</f>
        <v/>
      </c>
      <c r="D309" s="71"/>
      <c r="E309" s="71"/>
      <c r="F309" s="61" t="str">
        <f t="shared" si="3"/>
        <v/>
      </c>
      <c r="G309" s="71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69"/>
      <c r="C310" s="58" t="str">
        <f>IFERROR(VLOOKUP(B310 ,INVENTARIO!$B$2:C996,2,0),"")</f>
        <v/>
      </c>
      <c r="D310" s="71"/>
      <c r="E310" s="71"/>
      <c r="F310" s="61" t="str">
        <f t="shared" si="3"/>
        <v/>
      </c>
      <c r="G310" s="71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69"/>
      <c r="C311" s="58" t="str">
        <f>IFERROR(VLOOKUP(B311 ,INVENTARIO!$B$2:C996,2,0),"")</f>
        <v/>
      </c>
      <c r="D311" s="71"/>
      <c r="E311" s="71"/>
      <c r="F311" s="61" t="str">
        <f t="shared" si="3"/>
        <v/>
      </c>
      <c r="G311" s="71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69"/>
      <c r="C312" s="58" t="str">
        <f>IFERROR(VLOOKUP(B312 ,INVENTARIO!$B$2:C996,2,0),"")</f>
        <v/>
      </c>
      <c r="D312" s="71"/>
      <c r="E312" s="71"/>
      <c r="F312" s="61" t="str">
        <f t="shared" si="3"/>
        <v/>
      </c>
      <c r="G312" s="71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69"/>
      <c r="C313" s="58" t="str">
        <f>IFERROR(VLOOKUP(B313 ,INVENTARIO!$B$2:C996,2,0),"")</f>
        <v/>
      </c>
      <c r="D313" s="71"/>
      <c r="E313" s="71"/>
      <c r="F313" s="61" t="str">
        <f t="shared" si="3"/>
        <v/>
      </c>
      <c r="G313" s="71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69"/>
      <c r="C314" s="58" t="str">
        <f>IFERROR(VLOOKUP(B314 ,INVENTARIO!$B$2:C996,2,0),"")</f>
        <v/>
      </c>
      <c r="D314" s="71"/>
      <c r="E314" s="71"/>
      <c r="F314" s="61" t="str">
        <f t="shared" si="3"/>
        <v/>
      </c>
      <c r="G314" s="71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69"/>
      <c r="C315" s="58" t="str">
        <f>IFERROR(VLOOKUP(B315 ,INVENTARIO!$B$2:C996,2,0),"")</f>
        <v/>
      </c>
      <c r="D315" s="71"/>
      <c r="E315" s="71"/>
      <c r="F315" s="61" t="str">
        <f t="shared" si="3"/>
        <v/>
      </c>
      <c r="G315" s="71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69"/>
      <c r="C316" s="58" t="str">
        <f>IFERROR(VLOOKUP(B316 ,INVENTARIO!$B$2:C996,2,0),"")</f>
        <v/>
      </c>
      <c r="D316" s="71"/>
      <c r="E316" s="71"/>
      <c r="F316" s="61" t="str">
        <f t="shared" si="3"/>
        <v/>
      </c>
      <c r="G316" s="71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69"/>
      <c r="C317" s="58" t="str">
        <f>IFERROR(VLOOKUP(B317 ,INVENTARIO!$B$2:C996,2,0),"")</f>
        <v/>
      </c>
      <c r="D317" s="71"/>
      <c r="E317" s="71"/>
      <c r="F317" s="61" t="str">
        <f t="shared" si="3"/>
        <v/>
      </c>
      <c r="G317" s="71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69"/>
      <c r="C318" s="58" t="str">
        <f>IFERROR(VLOOKUP(B318 ,INVENTARIO!$B$2:C996,2,0),"")</f>
        <v/>
      </c>
      <c r="D318" s="71"/>
      <c r="E318" s="71"/>
      <c r="F318" s="61" t="str">
        <f t="shared" si="3"/>
        <v/>
      </c>
      <c r="G318" s="71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69"/>
      <c r="C319" s="58" t="str">
        <f>IFERROR(VLOOKUP(B319 ,INVENTARIO!$B$2:C996,2,0),"")</f>
        <v/>
      </c>
      <c r="D319" s="71"/>
      <c r="E319" s="71"/>
      <c r="F319" s="61" t="str">
        <f t="shared" si="3"/>
        <v/>
      </c>
      <c r="G319" s="71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69"/>
      <c r="C320" s="58" t="str">
        <f>IFERROR(VLOOKUP(B320 ,INVENTARIO!$B$2:C996,2,0),"")</f>
        <v/>
      </c>
      <c r="D320" s="71"/>
      <c r="E320" s="71"/>
      <c r="F320" s="61" t="str">
        <f t="shared" si="3"/>
        <v/>
      </c>
      <c r="G320" s="71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69"/>
      <c r="C321" s="58" t="str">
        <f>IFERROR(VLOOKUP(B321 ,INVENTARIO!$B$2:C996,2,0),"")</f>
        <v/>
      </c>
      <c r="D321" s="71"/>
      <c r="E321" s="71"/>
      <c r="F321" s="61" t="str">
        <f t="shared" si="3"/>
        <v/>
      </c>
      <c r="G321" s="71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69"/>
      <c r="C322" s="58" t="str">
        <f>IFERROR(VLOOKUP(B322 ,INVENTARIO!$B$2:C996,2,0),"")</f>
        <v/>
      </c>
      <c r="D322" s="71"/>
      <c r="E322" s="71"/>
      <c r="F322" s="61" t="str">
        <f t="shared" si="3"/>
        <v/>
      </c>
      <c r="G322" s="71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69"/>
      <c r="C323" s="58" t="str">
        <f>IFERROR(VLOOKUP(B323 ,INVENTARIO!$B$2:C996,2,0),"")</f>
        <v/>
      </c>
      <c r="D323" s="71"/>
      <c r="E323" s="71"/>
      <c r="F323" s="61" t="str">
        <f t="shared" si="3"/>
        <v/>
      </c>
      <c r="G323" s="71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69"/>
      <c r="C324" s="58" t="str">
        <f>IFERROR(VLOOKUP(B324 ,INVENTARIO!$B$2:C996,2,0),"")</f>
        <v/>
      </c>
      <c r="D324" s="71"/>
      <c r="E324" s="71"/>
      <c r="F324" s="61" t="str">
        <f t="shared" si="3"/>
        <v/>
      </c>
      <c r="G324" s="71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69"/>
      <c r="C325" s="58" t="str">
        <f>IFERROR(VLOOKUP(B325 ,INVENTARIO!$B$2:C996,2,0),"")</f>
        <v/>
      </c>
      <c r="D325" s="71"/>
      <c r="E325" s="71"/>
      <c r="F325" s="61" t="str">
        <f t="shared" si="3"/>
        <v/>
      </c>
      <c r="G325" s="71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69"/>
      <c r="C326" s="58" t="str">
        <f>IFERROR(VLOOKUP(B326 ,INVENTARIO!$B$2:C996,2,0),"")</f>
        <v/>
      </c>
      <c r="D326" s="71"/>
      <c r="E326" s="71"/>
      <c r="F326" s="61" t="str">
        <f t="shared" si="3"/>
        <v/>
      </c>
      <c r="G326" s="71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69"/>
      <c r="C327" s="58" t="str">
        <f>IFERROR(VLOOKUP(B327 ,INVENTARIO!$B$2:C996,2,0),"")</f>
        <v/>
      </c>
      <c r="D327" s="71"/>
      <c r="E327" s="71"/>
      <c r="F327" s="61" t="str">
        <f t="shared" si="3"/>
        <v/>
      </c>
      <c r="G327" s="71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69"/>
      <c r="C328" s="58" t="str">
        <f>IFERROR(VLOOKUP(B328 ,INVENTARIO!$B$2:C996,2,0),"")</f>
        <v/>
      </c>
      <c r="D328" s="71"/>
      <c r="E328" s="71"/>
      <c r="F328" s="61" t="str">
        <f t="shared" si="3"/>
        <v/>
      </c>
      <c r="G328" s="71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69"/>
      <c r="C329" s="58" t="str">
        <f>IFERROR(VLOOKUP(B329 ,INVENTARIO!$B$2:C996,2,0),"")</f>
        <v/>
      </c>
      <c r="D329" s="71"/>
      <c r="E329" s="71"/>
      <c r="F329" s="61" t="str">
        <f t="shared" si="3"/>
        <v/>
      </c>
      <c r="G329" s="71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69"/>
      <c r="C330" s="58" t="str">
        <f>IFERROR(VLOOKUP(B330 ,INVENTARIO!$B$2:C996,2,0),"")</f>
        <v/>
      </c>
      <c r="D330" s="71"/>
      <c r="E330" s="71"/>
      <c r="F330" s="61" t="str">
        <f t="shared" si="3"/>
        <v/>
      </c>
      <c r="G330" s="71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69"/>
      <c r="C331" s="58" t="str">
        <f>IFERROR(VLOOKUP(B331 ,INVENTARIO!$B$2:C996,2,0),"")</f>
        <v/>
      </c>
      <c r="D331" s="71"/>
      <c r="E331" s="71"/>
      <c r="F331" s="61" t="str">
        <f t="shared" si="3"/>
        <v/>
      </c>
      <c r="G331" s="71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69"/>
      <c r="C332" s="58" t="str">
        <f>IFERROR(VLOOKUP(B332 ,INVENTARIO!$B$2:C996,2,0),"")</f>
        <v/>
      </c>
      <c r="D332" s="71"/>
      <c r="E332" s="71"/>
      <c r="F332" s="61" t="str">
        <f t="shared" si="3"/>
        <v/>
      </c>
      <c r="G332" s="71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69"/>
      <c r="C333" s="58" t="str">
        <f>IFERROR(VLOOKUP(B333 ,INVENTARIO!$B$2:C996,2,0),"")</f>
        <v/>
      </c>
      <c r="D333" s="71"/>
      <c r="E333" s="71"/>
      <c r="F333" s="61" t="str">
        <f t="shared" si="3"/>
        <v/>
      </c>
      <c r="G333" s="71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69"/>
      <c r="C334" s="58" t="str">
        <f>IFERROR(VLOOKUP(B334 ,INVENTARIO!$B$2:C996,2,0),"")</f>
        <v/>
      </c>
      <c r="D334" s="71"/>
      <c r="E334" s="71"/>
      <c r="F334" s="61" t="str">
        <f t="shared" si="3"/>
        <v/>
      </c>
      <c r="G334" s="71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69"/>
      <c r="C335" s="58" t="str">
        <f>IFERROR(VLOOKUP(B335 ,INVENTARIO!$B$2:C996,2,0),"")</f>
        <v/>
      </c>
      <c r="D335" s="71"/>
      <c r="E335" s="71"/>
      <c r="F335" s="61" t="str">
        <f t="shared" si="3"/>
        <v/>
      </c>
      <c r="G335" s="71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69"/>
      <c r="C336" s="58" t="str">
        <f>IFERROR(VLOOKUP(B336 ,INVENTARIO!$B$2:C996,2,0),"")</f>
        <v/>
      </c>
      <c r="D336" s="71"/>
      <c r="E336" s="71"/>
      <c r="F336" s="61" t="str">
        <f t="shared" si="3"/>
        <v/>
      </c>
      <c r="G336" s="71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69"/>
      <c r="C337" s="58" t="str">
        <f>IFERROR(VLOOKUP(B337 ,INVENTARIO!$B$2:C996,2,0),"")</f>
        <v/>
      </c>
      <c r="D337" s="71"/>
      <c r="E337" s="71"/>
      <c r="F337" s="61" t="str">
        <f t="shared" si="3"/>
        <v/>
      </c>
      <c r="G337" s="71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69"/>
      <c r="C338" s="58" t="str">
        <f>IFERROR(VLOOKUP(B338 ,INVENTARIO!$B$2:C996,2,0),"")</f>
        <v/>
      </c>
      <c r="D338" s="71"/>
      <c r="E338" s="71"/>
      <c r="F338" s="61" t="str">
        <f t="shared" si="3"/>
        <v/>
      </c>
      <c r="G338" s="71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69"/>
      <c r="C339" s="58" t="str">
        <f>IFERROR(VLOOKUP(B339 ,INVENTARIO!$B$2:C996,2,0),"")</f>
        <v/>
      </c>
      <c r="D339" s="71"/>
      <c r="E339" s="71"/>
      <c r="F339" s="61" t="str">
        <f t="shared" si="3"/>
        <v/>
      </c>
      <c r="G339" s="71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69"/>
      <c r="C340" s="58" t="str">
        <f>IFERROR(VLOOKUP(B340 ,INVENTARIO!$B$2:C996,2,0),"")</f>
        <v/>
      </c>
      <c r="D340" s="71"/>
      <c r="E340" s="71"/>
      <c r="F340" s="61" t="str">
        <f t="shared" si="3"/>
        <v/>
      </c>
      <c r="G340" s="71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69"/>
      <c r="C341" s="58" t="str">
        <f>IFERROR(VLOOKUP(B341 ,INVENTARIO!$B$2:C996,2,0),"")</f>
        <v/>
      </c>
      <c r="D341" s="71"/>
      <c r="E341" s="71"/>
      <c r="F341" s="61" t="str">
        <f t="shared" si="3"/>
        <v/>
      </c>
      <c r="G341" s="71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69"/>
      <c r="C342" s="58" t="str">
        <f>IFERROR(VLOOKUP(B342 ,INVENTARIO!$B$2:C996,2,0),"")</f>
        <v/>
      </c>
      <c r="D342" s="71"/>
      <c r="E342" s="71"/>
      <c r="F342" s="61" t="str">
        <f t="shared" si="3"/>
        <v/>
      </c>
      <c r="G342" s="71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69"/>
      <c r="C343" s="58" t="str">
        <f>IFERROR(VLOOKUP(B343 ,INVENTARIO!$B$2:C996,2,0),"")</f>
        <v/>
      </c>
      <c r="D343" s="71"/>
      <c r="E343" s="71"/>
      <c r="F343" s="61" t="str">
        <f t="shared" si="3"/>
        <v/>
      </c>
      <c r="G343" s="71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69"/>
      <c r="C344" s="58" t="str">
        <f>IFERROR(VLOOKUP(B344 ,INVENTARIO!$B$2:C996,2,0),"")</f>
        <v/>
      </c>
      <c r="D344" s="71"/>
      <c r="E344" s="71"/>
      <c r="F344" s="61" t="str">
        <f t="shared" si="3"/>
        <v/>
      </c>
      <c r="G344" s="71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69"/>
      <c r="C345" s="58" t="str">
        <f>IFERROR(VLOOKUP(B345 ,INVENTARIO!$B$2:C996,2,0),"")</f>
        <v/>
      </c>
      <c r="D345" s="71"/>
      <c r="E345" s="71"/>
      <c r="F345" s="61" t="str">
        <f t="shared" si="3"/>
        <v/>
      </c>
      <c r="G345" s="71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69"/>
      <c r="C346" s="58" t="str">
        <f>IFERROR(VLOOKUP(B346 ,INVENTARIO!$B$2:C996,2,0),"")</f>
        <v/>
      </c>
      <c r="D346" s="71"/>
      <c r="E346" s="71"/>
      <c r="F346" s="61" t="str">
        <f t="shared" si="3"/>
        <v/>
      </c>
      <c r="G346" s="71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69"/>
      <c r="C347" s="58" t="str">
        <f>IFERROR(VLOOKUP(B347 ,INVENTARIO!$B$2:C996,2,0),"")</f>
        <v/>
      </c>
      <c r="D347" s="71"/>
      <c r="E347" s="71"/>
      <c r="F347" s="61" t="str">
        <f t="shared" si="3"/>
        <v/>
      </c>
      <c r="G347" s="71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69"/>
      <c r="C348" s="58" t="str">
        <f>IFERROR(VLOOKUP(B348 ,INVENTARIO!$B$2:C996,2,0),"")</f>
        <v/>
      </c>
      <c r="D348" s="71"/>
      <c r="E348" s="71"/>
      <c r="F348" s="61" t="str">
        <f t="shared" si="3"/>
        <v/>
      </c>
      <c r="G348" s="71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69"/>
      <c r="C349" s="58" t="str">
        <f>IFERROR(VLOOKUP(B349 ,INVENTARIO!$B$2:C996,2,0),"")</f>
        <v/>
      </c>
      <c r="D349" s="71"/>
      <c r="E349" s="71"/>
      <c r="F349" s="61" t="str">
        <f t="shared" si="3"/>
        <v/>
      </c>
      <c r="G349" s="71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69"/>
      <c r="C350" s="58" t="str">
        <f>IFERROR(VLOOKUP(B350 ,INVENTARIO!$B$2:C996,2,0),"")</f>
        <v/>
      </c>
      <c r="D350" s="71"/>
      <c r="E350" s="71"/>
      <c r="F350" s="61" t="str">
        <f t="shared" si="3"/>
        <v/>
      </c>
      <c r="G350" s="71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69"/>
      <c r="C351" s="58" t="str">
        <f>IFERROR(VLOOKUP(B351 ,INVENTARIO!$B$2:C996,2,0),"")</f>
        <v/>
      </c>
      <c r="D351" s="71"/>
      <c r="E351" s="71"/>
      <c r="F351" s="61" t="str">
        <f t="shared" si="3"/>
        <v/>
      </c>
      <c r="G351" s="71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69"/>
      <c r="C352" s="58" t="str">
        <f>IFERROR(VLOOKUP(B352 ,INVENTARIO!$B$2:C996,2,0),"")</f>
        <v/>
      </c>
      <c r="D352" s="71"/>
      <c r="E352" s="71"/>
      <c r="F352" s="61" t="str">
        <f t="shared" si="3"/>
        <v/>
      </c>
      <c r="G352" s="71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69"/>
      <c r="C353" s="58" t="str">
        <f>IFERROR(VLOOKUP(B353 ,INVENTARIO!$B$2:C996,2,0),"")</f>
        <v/>
      </c>
      <c r="D353" s="71"/>
      <c r="E353" s="71"/>
      <c r="F353" s="61" t="str">
        <f t="shared" si="3"/>
        <v/>
      </c>
      <c r="G353" s="71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69"/>
      <c r="C354" s="58" t="str">
        <f>IFERROR(VLOOKUP(B354 ,INVENTARIO!$B$2:C996,2,0),"")</f>
        <v/>
      </c>
      <c r="D354" s="71"/>
      <c r="E354" s="71"/>
      <c r="F354" s="61" t="str">
        <f t="shared" si="3"/>
        <v/>
      </c>
      <c r="G354" s="71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69"/>
      <c r="C355" s="58" t="str">
        <f>IFERROR(VLOOKUP(B355 ,INVENTARIO!$B$2:C996,2,0),"")</f>
        <v/>
      </c>
      <c r="D355" s="71"/>
      <c r="E355" s="71"/>
      <c r="F355" s="61" t="str">
        <f t="shared" si="3"/>
        <v/>
      </c>
      <c r="G355" s="71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69"/>
      <c r="C356" s="58" t="str">
        <f>IFERROR(VLOOKUP(B356 ,INVENTARIO!$B$2:C996,2,0),"")</f>
        <v/>
      </c>
      <c r="D356" s="71"/>
      <c r="E356" s="71"/>
      <c r="F356" s="61" t="str">
        <f t="shared" si="3"/>
        <v/>
      </c>
      <c r="G356" s="71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69"/>
      <c r="C357" s="58" t="str">
        <f>IFERROR(VLOOKUP(B357 ,INVENTARIO!$B$2:C996,2,0),"")</f>
        <v/>
      </c>
      <c r="D357" s="71"/>
      <c r="E357" s="71"/>
      <c r="F357" s="61" t="str">
        <f t="shared" si="3"/>
        <v/>
      </c>
      <c r="G357" s="71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69"/>
      <c r="C358" s="58" t="str">
        <f>IFERROR(VLOOKUP(B358 ,INVENTARIO!$B$2:C996,2,0),"")</f>
        <v/>
      </c>
      <c r="D358" s="71"/>
      <c r="E358" s="71"/>
      <c r="F358" s="61" t="str">
        <f t="shared" si="3"/>
        <v/>
      </c>
      <c r="G358" s="71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69"/>
      <c r="C359" s="58" t="str">
        <f>IFERROR(VLOOKUP(B359 ,INVENTARIO!$B$2:C996,2,0),"")</f>
        <v/>
      </c>
      <c r="D359" s="71"/>
      <c r="E359" s="71"/>
      <c r="F359" s="61" t="str">
        <f t="shared" si="3"/>
        <v/>
      </c>
      <c r="G359" s="71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69"/>
      <c r="C360" s="58" t="str">
        <f>IFERROR(VLOOKUP(B360 ,INVENTARIO!$B$2:C996,2,0),"")</f>
        <v/>
      </c>
      <c r="D360" s="71"/>
      <c r="E360" s="71"/>
      <c r="F360" s="61" t="str">
        <f t="shared" si="3"/>
        <v/>
      </c>
      <c r="G360" s="71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69"/>
      <c r="C361" s="58" t="str">
        <f>IFERROR(VLOOKUP(B361 ,INVENTARIO!$B$2:C996,2,0),"")</f>
        <v/>
      </c>
      <c r="D361" s="71"/>
      <c r="E361" s="71"/>
      <c r="F361" s="61" t="str">
        <f t="shared" si="3"/>
        <v/>
      </c>
      <c r="G361" s="71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69"/>
      <c r="C362" s="58" t="str">
        <f>IFERROR(VLOOKUP(B362 ,INVENTARIO!$B$2:C996,2,0),"")</f>
        <v/>
      </c>
      <c r="D362" s="71"/>
      <c r="E362" s="71"/>
      <c r="F362" s="61" t="str">
        <f t="shared" si="3"/>
        <v/>
      </c>
      <c r="G362" s="71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69"/>
      <c r="C363" s="58" t="str">
        <f>IFERROR(VLOOKUP(B363 ,INVENTARIO!$B$2:C996,2,0),"")</f>
        <v/>
      </c>
      <c r="D363" s="71"/>
      <c r="E363" s="71"/>
      <c r="F363" s="61" t="str">
        <f t="shared" si="3"/>
        <v/>
      </c>
      <c r="G363" s="71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69"/>
      <c r="C364" s="58" t="str">
        <f>IFERROR(VLOOKUP(B364 ,INVENTARIO!$B$2:C996,2,0),"")</f>
        <v/>
      </c>
      <c r="D364" s="71"/>
      <c r="E364" s="71"/>
      <c r="F364" s="61" t="str">
        <f t="shared" si="3"/>
        <v/>
      </c>
      <c r="G364" s="71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69"/>
      <c r="C365" s="58" t="str">
        <f>IFERROR(VLOOKUP(B365 ,INVENTARIO!$B$2:C996,2,0),"")</f>
        <v/>
      </c>
      <c r="D365" s="71"/>
      <c r="E365" s="71"/>
      <c r="F365" s="61" t="str">
        <f t="shared" si="3"/>
        <v/>
      </c>
      <c r="G365" s="71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69"/>
      <c r="C366" s="58" t="str">
        <f>IFERROR(VLOOKUP(B366 ,INVENTARIO!$B$2:C996,2,0),"")</f>
        <v/>
      </c>
      <c r="D366" s="71"/>
      <c r="E366" s="71"/>
      <c r="F366" s="61" t="str">
        <f t="shared" si="3"/>
        <v/>
      </c>
      <c r="G366" s="71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69"/>
      <c r="C367" s="58" t="str">
        <f>IFERROR(VLOOKUP(B367 ,INVENTARIO!$B$2:C996,2,0),"")</f>
        <v/>
      </c>
      <c r="D367" s="71"/>
      <c r="E367" s="71"/>
      <c r="F367" s="61" t="str">
        <f t="shared" si="3"/>
        <v/>
      </c>
      <c r="G367" s="71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69"/>
      <c r="C368" s="58" t="str">
        <f>IFERROR(VLOOKUP(B368 ,INVENTARIO!$B$2:C996,2,0),"")</f>
        <v/>
      </c>
      <c r="D368" s="71"/>
      <c r="E368" s="71"/>
      <c r="F368" s="61" t="str">
        <f t="shared" si="3"/>
        <v/>
      </c>
      <c r="G368" s="71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69"/>
      <c r="C369" s="58" t="str">
        <f>IFERROR(VLOOKUP(B369 ,INVENTARIO!$B$2:C996,2,0),"")</f>
        <v/>
      </c>
      <c r="D369" s="71"/>
      <c r="E369" s="71"/>
      <c r="F369" s="61" t="str">
        <f t="shared" si="3"/>
        <v/>
      </c>
      <c r="G369" s="71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69"/>
      <c r="C370" s="58" t="str">
        <f>IFERROR(VLOOKUP(B370 ,INVENTARIO!$B$2:C996,2,0),"")</f>
        <v/>
      </c>
      <c r="D370" s="71"/>
      <c r="E370" s="71"/>
      <c r="F370" s="61" t="str">
        <f t="shared" si="3"/>
        <v/>
      </c>
      <c r="G370" s="71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69"/>
      <c r="C371" s="58" t="str">
        <f>IFERROR(VLOOKUP(B371 ,INVENTARIO!$B$2:C996,2,0),"")</f>
        <v/>
      </c>
      <c r="D371" s="71"/>
      <c r="E371" s="71"/>
      <c r="F371" s="61" t="str">
        <f t="shared" si="3"/>
        <v/>
      </c>
      <c r="G371" s="71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69"/>
      <c r="C372" s="58" t="str">
        <f>IFERROR(VLOOKUP(B372 ,INVENTARIO!$B$2:C996,2,0),"")</f>
        <v/>
      </c>
      <c r="D372" s="71"/>
      <c r="E372" s="71"/>
      <c r="F372" s="61" t="str">
        <f t="shared" si="3"/>
        <v/>
      </c>
      <c r="G372" s="71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69"/>
      <c r="C373" s="58" t="str">
        <f>IFERROR(VLOOKUP(B373 ,INVENTARIO!$B$2:C996,2,0),"")</f>
        <v/>
      </c>
      <c r="D373" s="71"/>
      <c r="E373" s="71"/>
      <c r="F373" s="61" t="str">
        <f t="shared" si="3"/>
        <v/>
      </c>
      <c r="G373" s="71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69"/>
      <c r="C374" s="58" t="str">
        <f>IFERROR(VLOOKUP(B374 ,INVENTARIO!$B$2:C996,2,0),"")</f>
        <v/>
      </c>
      <c r="D374" s="71"/>
      <c r="E374" s="71"/>
      <c r="F374" s="61" t="str">
        <f t="shared" si="3"/>
        <v/>
      </c>
      <c r="G374" s="71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69"/>
      <c r="C375" s="58" t="str">
        <f>IFERROR(VLOOKUP(B375 ,INVENTARIO!$B$2:C996,2,0),"")</f>
        <v/>
      </c>
      <c r="D375" s="71"/>
      <c r="E375" s="71"/>
      <c r="F375" s="61" t="str">
        <f t="shared" si="3"/>
        <v/>
      </c>
      <c r="G375" s="71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69"/>
      <c r="C376" s="58" t="str">
        <f>IFERROR(VLOOKUP(B376 ,INVENTARIO!$B$2:C996,2,0),"")</f>
        <v/>
      </c>
      <c r="D376" s="71"/>
      <c r="E376" s="71"/>
      <c r="F376" s="61" t="str">
        <f t="shared" si="3"/>
        <v/>
      </c>
      <c r="G376" s="71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69"/>
      <c r="C377" s="58" t="str">
        <f>IFERROR(VLOOKUP(B377 ,INVENTARIO!$B$2:C996,2,0),"")</f>
        <v/>
      </c>
      <c r="D377" s="71"/>
      <c r="E377" s="71"/>
      <c r="F377" s="61" t="str">
        <f t="shared" si="3"/>
        <v/>
      </c>
      <c r="G377" s="71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69"/>
      <c r="C378" s="58" t="str">
        <f>IFERROR(VLOOKUP(B378 ,INVENTARIO!$B$2:C996,2,0),"")</f>
        <v/>
      </c>
      <c r="D378" s="71"/>
      <c r="E378" s="71"/>
      <c r="F378" s="61" t="str">
        <f t="shared" si="3"/>
        <v/>
      </c>
      <c r="G378" s="71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69"/>
      <c r="C379" s="58" t="str">
        <f>IFERROR(VLOOKUP(B379 ,INVENTARIO!$B$2:C996,2,0),"")</f>
        <v/>
      </c>
      <c r="D379" s="71"/>
      <c r="E379" s="71"/>
      <c r="F379" s="61" t="str">
        <f t="shared" si="3"/>
        <v/>
      </c>
      <c r="G379" s="71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69"/>
      <c r="C380" s="58" t="str">
        <f>IFERROR(VLOOKUP(B380 ,INVENTARIO!$B$2:C996,2,0),"")</f>
        <v/>
      </c>
      <c r="D380" s="71"/>
      <c r="E380" s="71"/>
      <c r="F380" s="61" t="str">
        <f t="shared" si="3"/>
        <v/>
      </c>
      <c r="G380" s="71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69"/>
      <c r="C381" s="58" t="str">
        <f>IFERROR(VLOOKUP(B381 ,INVENTARIO!$B$2:C996,2,0),"")</f>
        <v/>
      </c>
      <c r="D381" s="71"/>
      <c r="E381" s="71"/>
      <c r="F381" s="61" t="str">
        <f t="shared" si="3"/>
        <v/>
      </c>
      <c r="G381" s="71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69"/>
      <c r="C382" s="58" t="str">
        <f>IFERROR(VLOOKUP(B382 ,INVENTARIO!$B$2:C996,2,0),"")</f>
        <v/>
      </c>
      <c r="D382" s="71"/>
      <c r="E382" s="71"/>
      <c r="F382" s="61" t="str">
        <f t="shared" si="3"/>
        <v/>
      </c>
      <c r="G382" s="71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69"/>
      <c r="C383" s="58" t="str">
        <f>IFERROR(VLOOKUP(B383 ,INVENTARIO!$B$2:C996,2,0),"")</f>
        <v/>
      </c>
      <c r="D383" s="71"/>
      <c r="E383" s="71"/>
      <c r="F383" s="61" t="str">
        <f t="shared" si="3"/>
        <v/>
      </c>
      <c r="G383" s="71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69"/>
      <c r="C384" s="58" t="str">
        <f>IFERROR(VLOOKUP(B384 ,INVENTARIO!$B$2:C996,2,0),"")</f>
        <v/>
      </c>
      <c r="D384" s="71"/>
      <c r="E384" s="71"/>
      <c r="F384" s="61" t="str">
        <f t="shared" si="3"/>
        <v/>
      </c>
      <c r="G384" s="71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69"/>
      <c r="C385" s="58" t="str">
        <f>IFERROR(VLOOKUP(B385 ,INVENTARIO!$B$2:C996,2,0),"")</f>
        <v/>
      </c>
      <c r="D385" s="71"/>
      <c r="E385" s="71"/>
      <c r="F385" s="61" t="str">
        <f t="shared" si="3"/>
        <v/>
      </c>
      <c r="G385" s="71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69"/>
      <c r="C386" s="58" t="str">
        <f>IFERROR(VLOOKUP(B386 ,INVENTARIO!$B$2:C996,2,0),"")</f>
        <v/>
      </c>
      <c r="D386" s="71"/>
      <c r="E386" s="71"/>
      <c r="F386" s="61" t="str">
        <f t="shared" si="3"/>
        <v/>
      </c>
      <c r="G386" s="71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69"/>
      <c r="C387" s="58" t="str">
        <f>IFERROR(VLOOKUP(B387 ,INVENTARIO!$B$2:C996,2,0),"")</f>
        <v/>
      </c>
      <c r="D387" s="71"/>
      <c r="E387" s="71"/>
      <c r="F387" s="61" t="str">
        <f t="shared" si="3"/>
        <v/>
      </c>
      <c r="G387" s="71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69"/>
      <c r="C388" s="58" t="str">
        <f>IFERROR(VLOOKUP(B388 ,INVENTARIO!$B$2:C996,2,0),"")</f>
        <v/>
      </c>
      <c r="D388" s="71"/>
      <c r="E388" s="71"/>
      <c r="F388" s="61" t="str">
        <f t="shared" si="3"/>
        <v/>
      </c>
      <c r="G388" s="71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69"/>
      <c r="C389" s="58" t="str">
        <f>IFERROR(VLOOKUP(B389 ,INVENTARIO!$B$2:C996,2,0),"")</f>
        <v/>
      </c>
      <c r="D389" s="71"/>
      <c r="E389" s="71"/>
      <c r="F389" s="61" t="str">
        <f t="shared" si="3"/>
        <v/>
      </c>
      <c r="G389" s="71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69"/>
      <c r="C390" s="58" t="str">
        <f>IFERROR(VLOOKUP(B390 ,INVENTARIO!$B$2:C996,2,0),"")</f>
        <v/>
      </c>
      <c r="D390" s="71"/>
      <c r="E390" s="71"/>
      <c r="F390" s="61" t="str">
        <f t="shared" si="3"/>
        <v/>
      </c>
      <c r="G390" s="71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69"/>
      <c r="C391" s="58" t="str">
        <f>IFERROR(VLOOKUP(B391 ,INVENTARIO!$B$2:C996,2,0),"")</f>
        <v/>
      </c>
      <c r="D391" s="71"/>
      <c r="E391" s="71"/>
      <c r="F391" s="61" t="str">
        <f t="shared" si="3"/>
        <v/>
      </c>
      <c r="G391" s="71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69"/>
      <c r="C392" s="58" t="str">
        <f>IFERROR(VLOOKUP(B392 ,INVENTARIO!$B$2:C996,2,0),"")</f>
        <v/>
      </c>
      <c r="D392" s="71"/>
      <c r="E392" s="71"/>
      <c r="F392" s="61" t="str">
        <f t="shared" si="3"/>
        <v/>
      </c>
      <c r="G392" s="71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69"/>
      <c r="C393" s="58" t="str">
        <f>IFERROR(VLOOKUP(B393 ,INVENTARIO!$B$2:C996,2,0),"")</f>
        <v/>
      </c>
      <c r="D393" s="71"/>
      <c r="E393" s="71"/>
      <c r="F393" s="61" t="str">
        <f t="shared" si="3"/>
        <v/>
      </c>
      <c r="G393" s="71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69"/>
      <c r="C394" s="58" t="str">
        <f>IFERROR(VLOOKUP(B394 ,INVENTARIO!$B$2:C996,2,0),"")</f>
        <v/>
      </c>
      <c r="D394" s="71"/>
      <c r="E394" s="71"/>
      <c r="F394" s="61" t="str">
        <f t="shared" si="3"/>
        <v/>
      </c>
      <c r="G394" s="71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69"/>
      <c r="C395" s="58" t="str">
        <f>IFERROR(VLOOKUP(B395 ,INVENTARIO!$B$2:C996,2,0),"")</f>
        <v/>
      </c>
      <c r="D395" s="71"/>
      <c r="E395" s="71"/>
      <c r="F395" s="61" t="str">
        <f t="shared" si="3"/>
        <v/>
      </c>
      <c r="G395" s="71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69"/>
      <c r="C396" s="58" t="str">
        <f>IFERROR(VLOOKUP(B396 ,INVENTARIO!$B$2:C996,2,0),"")</f>
        <v/>
      </c>
      <c r="D396" s="71"/>
      <c r="E396" s="71"/>
      <c r="F396" s="61" t="str">
        <f t="shared" si="3"/>
        <v/>
      </c>
      <c r="G396" s="71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69"/>
      <c r="C397" s="58" t="str">
        <f>IFERROR(VLOOKUP(B397 ,INVENTARIO!$B$2:C996,2,0),"")</f>
        <v/>
      </c>
      <c r="D397" s="71"/>
      <c r="E397" s="71"/>
      <c r="F397" s="61" t="str">
        <f t="shared" si="3"/>
        <v/>
      </c>
      <c r="G397" s="71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69"/>
      <c r="C398" s="58" t="str">
        <f>IFERROR(VLOOKUP(B398 ,INVENTARIO!$B$2:C996,2,0),"")</f>
        <v/>
      </c>
      <c r="D398" s="71"/>
      <c r="E398" s="71"/>
      <c r="F398" s="61" t="str">
        <f t="shared" si="3"/>
        <v/>
      </c>
      <c r="G398" s="71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69"/>
      <c r="C399" s="58" t="str">
        <f>IFERROR(VLOOKUP(B399 ,INVENTARIO!$B$2:C996,2,0),"")</f>
        <v/>
      </c>
      <c r="D399" s="71"/>
      <c r="E399" s="71"/>
      <c r="F399" s="61" t="str">
        <f t="shared" si="3"/>
        <v/>
      </c>
      <c r="G399" s="71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69"/>
      <c r="C400" s="58" t="str">
        <f>IFERROR(VLOOKUP(B400 ,INVENTARIO!$B$2:C996,2,0),"")</f>
        <v/>
      </c>
      <c r="D400" s="71"/>
      <c r="E400" s="71"/>
      <c r="F400" s="61" t="str">
        <f t="shared" si="3"/>
        <v/>
      </c>
      <c r="G400" s="71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69"/>
      <c r="C401" s="58" t="str">
        <f>IFERROR(VLOOKUP(B401 ,INVENTARIO!$B$2:C996,2,0),"")</f>
        <v/>
      </c>
      <c r="D401" s="71"/>
      <c r="E401" s="71"/>
      <c r="F401" s="61" t="str">
        <f t="shared" si="3"/>
        <v/>
      </c>
      <c r="G401" s="71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69"/>
      <c r="C402" s="58" t="str">
        <f>IFERROR(VLOOKUP(B402 ,INVENTARIO!$B$2:C996,2,0),"")</f>
        <v/>
      </c>
      <c r="D402" s="71"/>
      <c r="E402" s="71"/>
      <c r="F402" s="61" t="str">
        <f t="shared" si="3"/>
        <v/>
      </c>
      <c r="G402" s="71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69"/>
      <c r="C403" s="58" t="str">
        <f>IFERROR(VLOOKUP(B403 ,INVENTARIO!$B$2:C996,2,0),"")</f>
        <v/>
      </c>
      <c r="D403" s="71"/>
      <c r="E403" s="71"/>
      <c r="F403" s="61" t="str">
        <f t="shared" si="3"/>
        <v/>
      </c>
      <c r="G403" s="71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69"/>
      <c r="C404" s="58" t="str">
        <f>IFERROR(VLOOKUP(B404 ,INVENTARIO!$B$2:C996,2,0),"")</f>
        <v/>
      </c>
      <c r="D404" s="71"/>
      <c r="E404" s="71"/>
      <c r="F404" s="61" t="str">
        <f t="shared" si="3"/>
        <v/>
      </c>
      <c r="G404" s="71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69"/>
      <c r="C405" s="58" t="str">
        <f>IFERROR(VLOOKUP(B405 ,INVENTARIO!$B$2:C996,2,0),"")</f>
        <v/>
      </c>
      <c r="D405" s="71"/>
      <c r="E405" s="71"/>
      <c r="F405" s="61" t="str">
        <f t="shared" si="3"/>
        <v/>
      </c>
      <c r="G405" s="71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69"/>
      <c r="C406" s="58" t="str">
        <f>IFERROR(VLOOKUP(B406 ,INVENTARIO!$B$2:C996,2,0),"")</f>
        <v/>
      </c>
      <c r="D406" s="71"/>
      <c r="E406" s="71"/>
      <c r="F406" s="61" t="str">
        <f t="shared" si="3"/>
        <v/>
      </c>
      <c r="G406" s="71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69"/>
      <c r="C407" s="58" t="str">
        <f>IFERROR(VLOOKUP(B407 ,INVENTARIO!$B$2:C996,2,0),"")</f>
        <v/>
      </c>
      <c r="D407" s="71"/>
      <c r="E407" s="71"/>
      <c r="F407" s="61" t="str">
        <f t="shared" si="3"/>
        <v/>
      </c>
      <c r="G407" s="71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69"/>
      <c r="C408" s="58" t="str">
        <f>IFERROR(VLOOKUP(B408 ,INVENTARIO!$B$2:C996,2,0),"")</f>
        <v/>
      </c>
      <c r="D408" s="71"/>
      <c r="E408" s="71"/>
      <c r="F408" s="61" t="str">
        <f t="shared" si="3"/>
        <v/>
      </c>
      <c r="G408" s="71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69"/>
      <c r="C409" s="58" t="str">
        <f>IFERROR(VLOOKUP(B409 ,INVENTARIO!$B$2:C996,2,0),"")</f>
        <v/>
      </c>
      <c r="D409" s="71"/>
      <c r="E409" s="71"/>
      <c r="F409" s="61" t="str">
        <f t="shared" si="3"/>
        <v/>
      </c>
      <c r="G409" s="71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69"/>
      <c r="C410" s="58" t="str">
        <f>IFERROR(VLOOKUP(B410 ,INVENTARIO!$B$2:C996,2,0),"")</f>
        <v/>
      </c>
      <c r="D410" s="71"/>
      <c r="E410" s="71"/>
      <c r="F410" s="61" t="str">
        <f t="shared" si="3"/>
        <v/>
      </c>
      <c r="G410" s="71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69"/>
      <c r="C411" s="58" t="str">
        <f>IFERROR(VLOOKUP(B411 ,INVENTARIO!$B$2:C996,2,0),"")</f>
        <v/>
      </c>
      <c r="D411" s="71"/>
      <c r="E411" s="71"/>
      <c r="F411" s="61" t="str">
        <f t="shared" si="3"/>
        <v/>
      </c>
      <c r="G411" s="71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69"/>
      <c r="C412" s="58" t="str">
        <f>IFERROR(VLOOKUP(B412 ,INVENTARIO!$B$2:C996,2,0),"")</f>
        <v/>
      </c>
      <c r="D412" s="71"/>
      <c r="E412" s="71"/>
      <c r="F412" s="61" t="str">
        <f t="shared" si="3"/>
        <v/>
      </c>
      <c r="G412" s="71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69"/>
      <c r="C413" s="58" t="str">
        <f>IFERROR(VLOOKUP(B413 ,INVENTARIO!$B$2:C996,2,0),"")</f>
        <v/>
      </c>
      <c r="D413" s="71"/>
      <c r="E413" s="71"/>
      <c r="F413" s="61" t="str">
        <f t="shared" si="3"/>
        <v/>
      </c>
      <c r="G413" s="71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69"/>
      <c r="C414" s="58" t="str">
        <f>IFERROR(VLOOKUP(B414 ,INVENTARIO!$B$2:C996,2,0),"")</f>
        <v/>
      </c>
      <c r="D414" s="71"/>
      <c r="E414" s="71"/>
      <c r="F414" s="61" t="str">
        <f t="shared" si="3"/>
        <v/>
      </c>
      <c r="G414" s="71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69"/>
      <c r="C415" s="58" t="str">
        <f>IFERROR(VLOOKUP(B415 ,INVENTARIO!$B$2:C996,2,0),"")</f>
        <v/>
      </c>
      <c r="D415" s="71"/>
      <c r="E415" s="71"/>
      <c r="F415" s="61" t="str">
        <f t="shared" si="3"/>
        <v/>
      </c>
      <c r="G415" s="71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69"/>
      <c r="C416" s="58" t="str">
        <f>IFERROR(VLOOKUP(B416 ,INVENTARIO!$B$2:C996,2,0),"")</f>
        <v/>
      </c>
      <c r="D416" s="71"/>
      <c r="E416" s="71"/>
      <c r="F416" s="61" t="str">
        <f t="shared" si="3"/>
        <v/>
      </c>
      <c r="G416" s="71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69"/>
      <c r="C417" s="58" t="str">
        <f>IFERROR(VLOOKUP(B417 ,INVENTARIO!$B$2:C996,2,0),"")</f>
        <v/>
      </c>
      <c r="D417" s="71"/>
      <c r="E417" s="71"/>
      <c r="F417" s="61" t="str">
        <f t="shared" si="3"/>
        <v/>
      </c>
      <c r="G417" s="71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69"/>
      <c r="C418" s="58" t="str">
        <f>IFERROR(VLOOKUP(B418 ,INVENTARIO!$B$2:C996,2,0),"")</f>
        <v/>
      </c>
      <c r="D418" s="71"/>
      <c r="E418" s="71"/>
      <c r="F418" s="61" t="str">
        <f t="shared" si="3"/>
        <v/>
      </c>
      <c r="G418" s="71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69"/>
      <c r="C419" s="58" t="str">
        <f>IFERROR(VLOOKUP(B419 ,INVENTARIO!$B$2:C996,2,0),"")</f>
        <v/>
      </c>
      <c r="D419" s="71"/>
      <c r="E419" s="71"/>
      <c r="F419" s="61" t="str">
        <f t="shared" si="3"/>
        <v/>
      </c>
      <c r="G419" s="71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69"/>
      <c r="C420" s="58" t="str">
        <f>IFERROR(VLOOKUP(B420 ,INVENTARIO!$B$2:C996,2,0),"")</f>
        <v/>
      </c>
      <c r="D420" s="71"/>
      <c r="E420" s="71"/>
      <c r="F420" s="61" t="str">
        <f t="shared" si="3"/>
        <v/>
      </c>
      <c r="G420" s="71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69"/>
      <c r="C421" s="58" t="str">
        <f>IFERROR(VLOOKUP(B421 ,INVENTARIO!$B$2:C996,2,0),"")</f>
        <v/>
      </c>
      <c r="D421" s="71"/>
      <c r="E421" s="71"/>
      <c r="F421" s="61" t="str">
        <f t="shared" si="3"/>
        <v/>
      </c>
      <c r="G421" s="71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69"/>
      <c r="C422" s="58" t="str">
        <f>IFERROR(VLOOKUP(B422 ,INVENTARIO!$B$2:C996,2,0),"")</f>
        <v/>
      </c>
      <c r="D422" s="71"/>
      <c r="E422" s="71"/>
      <c r="F422" s="61" t="str">
        <f t="shared" si="3"/>
        <v/>
      </c>
      <c r="G422" s="71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69"/>
      <c r="C423" s="58" t="str">
        <f>IFERROR(VLOOKUP(B423 ,INVENTARIO!$B$2:C996,2,0),"")</f>
        <v/>
      </c>
      <c r="D423" s="71"/>
      <c r="E423" s="71"/>
      <c r="F423" s="61" t="str">
        <f t="shared" si="3"/>
        <v/>
      </c>
      <c r="G423" s="71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69"/>
      <c r="C424" s="58" t="str">
        <f>IFERROR(VLOOKUP(B424 ,INVENTARIO!$B$2:C996,2,0),"")</f>
        <v/>
      </c>
      <c r="D424" s="71"/>
      <c r="E424" s="71"/>
      <c r="F424" s="61" t="str">
        <f t="shared" si="3"/>
        <v/>
      </c>
      <c r="G424" s="71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69"/>
      <c r="C425" s="58" t="str">
        <f>IFERROR(VLOOKUP(B425 ,INVENTARIO!$B$2:C996,2,0),"")</f>
        <v/>
      </c>
      <c r="D425" s="71"/>
      <c r="E425" s="71"/>
      <c r="F425" s="61" t="str">
        <f t="shared" si="3"/>
        <v/>
      </c>
      <c r="G425" s="71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69"/>
      <c r="C426" s="58" t="str">
        <f>IFERROR(VLOOKUP(B426 ,INVENTARIO!$B$2:C996,2,0),"")</f>
        <v/>
      </c>
      <c r="D426" s="71"/>
      <c r="E426" s="71"/>
      <c r="F426" s="61" t="str">
        <f t="shared" si="3"/>
        <v/>
      </c>
      <c r="G426" s="71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69"/>
      <c r="C427" s="58" t="str">
        <f>IFERROR(VLOOKUP(B427 ,INVENTARIO!$B$2:C996,2,0),"")</f>
        <v/>
      </c>
      <c r="D427" s="71"/>
      <c r="E427" s="71"/>
      <c r="F427" s="61" t="str">
        <f t="shared" si="3"/>
        <v/>
      </c>
      <c r="G427" s="71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69"/>
      <c r="C428" s="58" t="str">
        <f>IFERROR(VLOOKUP(B428 ,INVENTARIO!$B$2:C996,2,0),"")</f>
        <v/>
      </c>
      <c r="D428" s="71"/>
      <c r="E428" s="71"/>
      <c r="F428" s="61" t="str">
        <f t="shared" si="3"/>
        <v/>
      </c>
      <c r="G428" s="71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69"/>
      <c r="C429" s="58" t="str">
        <f>IFERROR(VLOOKUP(B429 ,INVENTARIO!$B$2:C996,2,0),"")</f>
        <v/>
      </c>
      <c r="D429" s="71"/>
      <c r="E429" s="71"/>
      <c r="F429" s="61" t="str">
        <f t="shared" si="3"/>
        <v/>
      </c>
      <c r="G429" s="71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69"/>
      <c r="C430" s="58" t="str">
        <f>IFERROR(VLOOKUP(B430 ,INVENTARIO!$B$2:C996,2,0),"")</f>
        <v/>
      </c>
      <c r="D430" s="71"/>
      <c r="E430" s="71"/>
      <c r="F430" s="61" t="str">
        <f t="shared" si="3"/>
        <v/>
      </c>
      <c r="G430" s="71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69"/>
      <c r="C431" s="58" t="str">
        <f>IFERROR(VLOOKUP(B431 ,INVENTARIO!$B$2:C996,2,0),"")</f>
        <v/>
      </c>
      <c r="D431" s="71"/>
      <c r="E431" s="71"/>
      <c r="F431" s="61" t="str">
        <f t="shared" si="3"/>
        <v/>
      </c>
      <c r="G431" s="71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69"/>
      <c r="C432" s="58" t="str">
        <f>IFERROR(VLOOKUP(B432 ,INVENTARIO!$B$2:C996,2,0),"")</f>
        <v/>
      </c>
      <c r="D432" s="71"/>
      <c r="E432" s="71"/>
      <c r="F432" s="61" t="str">
        <f t="shared" si="3"/>
        <v/>
      </c>
      <c r="G432" s="71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69"/>
      <c r="C433" s="58" t="str">
        <f>IFERROR(VLOOKUP(B433 ,INVENTARIO!$B$2:C996,2,0),"")</f>
        <v/>
      </c>
      <c r="D433" s="71"/>
      <c r="E433" s="71"/>
      <c r="F433" s="61" t="str">
        <f t="shared" si="3"/>
        <v/>
      </c>
      <c r="G433" s="71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69"/>
      <c r="C434" s="58" t="str">
        <f>IFERROR(VLOOKUP(B434 ,INVENTARIO!$B$2:C996,2,0),"")</f>
        <v/>
      </c>
      <c r="D434" s="71"/>
      <c r="E434" s="71"/>
      <c r="F434" s="61" t="str">
        <f t="shared" si="3"/>
        <v/>
      </c>
      <c r="G434" s="71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69"/>
      <c r="C435" s="58" t="str">
        <f>IFERROR(VLOOKUP(B435 ,INVENTARIO!$B$2:C996,2,0),"")</f>
        <v/>
      </c>
      <c r="D435" s="71"/>
      <c r="E435" s="71"/>
      <c r="F435" s="61" t="str">
        <f t="shared" si="3"/>
        <v/>
      </c>
      <c r="G435" s="71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69"/>
      <c r="C436" s="58" t="str">
        <f>IFERROR(VLOOKUP(B436 ,INVENTARIO!$B$2:C996,2,0),"")</f>
        <v/>
      </c>
      <c r="D436" s="71"/>
      <c r="E436" s="71"/>
      <c r="F436" s="61" t="str">
        <f t="shared" si="3"/>
        <v/>
      </c>
      <c r="G436" s="71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69"/>
      <c r="C437" s="58" t="str">
        <f>IFERROR(VLOOKUP(B437 ,INVENTARIO!$B$2:C996,2,0),"")</f>
        <v/>
      </c>
      <c r="D437" s="71"/>
      <c r="E437" s="71"/>
      <c r="F437" s="61" t="str">
        <f t="shared" si="3"/>
        <v/>
      </c>
      <c r="G437" s="71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69"/>
      <c r="C438" s="58" t="str">
        <f>IFERROR(VLOOKUP(B438 ,INVENTARIO!$B$2:C996,2,0),"")</f>
        <v/>
      </c>
      <c r="D438" s="71"/>
      <c r="E438" s="71"/>
      <c r="F438" s="61" t="str">
        <f t="shared" si="3"/>
        <v/>
      </c>
      <c r="G438" s="71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69"/>
      <c r="C439" s="58" t="str">
        <f>IFERROR(VLOOKUP(B439 ,INVENTARIO!$B$2:C996,2,0),"")</f>
        <v/>
      </c>
      <c r="D439" s="71"/>
      <c r="E439" s="71"/>
      <c r="F439" s="61" t="str">
        <f t="shared" si="3"/>
        <v/>
      </c>
      <c r="G439" s="71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69"/>
      <c r="C440" s="58" t="str">
        <f>IFERROR(VLOOKUP(B440 ,INVENTARIO!$B$2:C996,2,0),"")</f>
        <v/>
      </c>
      <c r="D440" s="71"/>
      <c r="E440" s="71"/>
      <c r="F440" s="61" t="str">
        <f t="shared" si="3"/>
        <v/>
      </c>
      <c r="G440" s="71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69"/>
      <c r="C441" s="58" t="str">
        <f>IFERROR(VLOOKUP(B441 ,INVENTARIO!$B$2:C996,2,0),"")</f>
        <v/>
      </c>
      <c r="D441" s="71"/>
      <c r="E441" s="71"/>
      <c r="F441" s="61" t="str">
        <f t="shared" si="3"/>
        <v/>
      </c>
      <c r="G441" s="71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69"/>
      <c r="C442" s="58" t="str">
        <f>IFERROR(VLOOKUP(B442 ,INVENTARIO!$B$2:C996,2,0),"")</f>
        <v/>
      </c>
      <c r="D442" s="71"/>
      <c r="E442" s="71"/>
      <c r="F442" s="61" t="str">
        <f t="shared" si="3"/>
        <v/>
      </c>
      <c r="G442" s="71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69"/>
      <c r="C443" s="58" t="str">
        <f>IFERROR(VLOOKUP(B443 ,INVENTARIO!$B$2:C996,2,0),"")</f>
        <v/>
      </c>
      <c r="D443" s="71"/>
      <c r="E443" s="71"/>
      <c r="F443" s="61" t="str">
        <f t="shared" si="3"/>
        <v/>
      </c>
      <c r="G443" s="71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69"/>
      <c r="C444" s="58" t="str">
        <f>IFERROR(VLOOKUP(B444 ,INVENTARIO!$B$2:C996,2,0),"")</f>
        <v/>
      </c>
      <c r="D444" s="71"/>
      <c r="E444" s="71"/>
      <c r="F444" s="61" t="str">
        <f t="shared" si="3"/>
        <v/>
      </c>
      <c r="G444" s="71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69"/>
      <c r="C445" s="58" t="str">
        <f>IFERROR(VLOOKUP(B445 ,INVENTARIO!$B$2:C996,2,0),"")</f>
        <v/>
      </c>
      <c r="D445" s="71"/>
      <c r="E445" s="71"/>
      <c r="F445" s="61" t="str">
        <f t="shared" si="3"/>
        <v/>
      </c>
      <c r="G445" s="71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69"/>
      <c r="C446" s="58" t="str">
        <f>IFERROR(VLOOKUP(B446 ,INVENTARIO!$B$2:C996,2,0),"")</f>
        <v/>
      </c>
      <c r="D446" s="71"/>
      <c r="E446" s="71"/>
      <c r="F446" s="61" t="str">
        <f t="shared" si="3"/>
        <v/>
      </c>
      <c r="G446" s="71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69"/>
      <c r="C447" s="58" t="str">
        <f>IFERROR(VLOOKUP(B447 ,INVENTARIO!$B$2:C996,2,0),"")</f>
        <v/>
      </c>
      <c r="D447" s="71"/>
      <c r="E447" s="71"/>
      <c r="F447" s="61" t="str">
        <f t="shared" si="3"/>
        <v/>
      </c>
      <c r="G447" s="71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69"/>
      <c r="C448" s="58" t="str">
        <f>IFERROR(VLOOKUP(B448 ,INVENTARIO!$B$2:C996,2,0),"")</f>
        <v/>
      </c>
      <c r="D448" s="71"/>
      <c r="E448" s="71"/>
      <c r="F448" s="61" t="str">
        <f t="shared" si="3"/>
        <v/>
      </c>
      <c r="G448" s="71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69"/>
      <c r="C449" s="58" t="str">
        <f>IFERROR(VLOOKUP(B449 ,INVENTARIO!$B$2:C996,2,0),"")</f>
        <v/>
      </c>
      <c r="D449" s="71"/>
      <c r="E449" s="71"/>
      <c r="F449" s="61" t="str">
        <f t="shared" si="3"/>
        <v/>
      </c>
      <c r="G449" s="71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69"/>
      <c r="C450" s="58" t="str">
        <f>IFERROR(VLOOKUP(B450 ,INVENTARIO!$B$2:C996,2,0),"")</f>
        <v/>
      </c>
      <c r="D450" s="71"/>
      <c r="E450" s="71"/>
      <c r="F450" s="61" t="str">
        <f t="shared" si="3"/>
        <v/>
      </c>
      <c r="G450" s="71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69"/>
      <c r="C451" s="58" t="str">
        <f>IFERROR(VLOOKUP(B451 ,INVENTARIO!$B$2:C996,2,0),"")</f>
        <v/>
      </c>
      <c r="D451" s="71"/>
      <c r="E451" s="71"/>
      <c r="F451" s="61" t="str">
        <f t="shared" si="3"/>
        <v/>
      </c>
      <c r="G451" s="71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69"/>
      <c r="C452" s="58" t="str">
        <f>IFERROR(VLOOKUP(B452 ,INVENTARIO!$B$2:C996,2,0),"")</f>
        <v/>
      </c>
      <c r="D452" s="71"/>
      <c r="E452" s="71"/>
      <c r="F452" s="61" t="str">
        <f t="shared" si="3"/>
        <v/>
      </c>
      <c r="G452" s="71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69"/>
      <c r="C453" s="58" t="str">
        <f>IFERROR(VLOOKUP(B453 ,INVENTARIO!$B$2:C996,2,0),"")</f>
        <v/>
      </c>
      <c r="D453" s="71"/>
      <c r="E453" s="71"/>
      <c r="F453" s="61" t="str">
        <f t="shared" si="3"/>
        <v/>
      </c>
      <c r="G453" s="71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69"/>
      <c r="C454" s="58" t="str">
        <f>IFERROR(VLOOKUP(B454 ,INVENTARIO!$B$2:C996,2,0),"")</f>
        <v/>
      </c>
      <c r="D454" s="71"/>
      <c r="E454" s="71"/>
      <c r="F454" s="61" t="str">
        <f t="shared" si="3"/>
        <v/>
      </c>
      <c r="G454" s="71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69"/>
      <c r="C455" s="58" t="str">
        <f>IFERROR(VLOOKUP(B455 ,INVENTARIO!$B$2:C996,2,0),"")</f>
        <v/>
      </c>
      <c r="D455" s="71"/>
      <c r="E455" s="71"/>
      <c r="F455" s="61" t="str">
        <f t="shared" si="3"/>
        <v/>
      </c>
      <c r="G455" s="71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69"/>
      <c r="C456" s="58" t="str">
        <f>IFERROR(VLOOKUP(B456 ,INVENTARIO!$B$2:C996,2,0),"")</f>
        <v/>
      </c>
      <c r="D456" s="71"/>
      <c r="E456" s="71"/>
      <c r="F456" s="61" t="str">
        <f t="shared" si="3"/>
        <v/>
      </c>
      <c r="G456" s="71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69"/>
      <c r="C457" s="58" t="str">
        <f>IFERROR(VLOOKUP(B457 ,INVENTARIO!$B$2:C996,2,0),"")</f>
        <v/>
      </c>
      <c r="D457" s="71"/>
      <c r="E457" s="71"/>
      <c r="F457" s="61" t="str">
        <f t="shared" si="3"/>
        <v/>
      </c>
      <c r="G457" s="71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69"/>
      <c r="C458" s="58" t="str">
        <f>IFERROR(VLOOKUP(B458 ,INVENTARIO!$B$2:C996,2,0),"")</f>
        <v/>
      </c>
      <c r="D458" s="71"/>
      <c r="E458" s="71"/>
      <c r="F458" s="61" t="str">
        <f t="shared" si="3"/>
        <v/>
      </c>
      <c r="G458" s="71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69"/>
      <c r="C459" s="58" t="str">
        <f>IFERROR(VLOOKUP(B459 ,INVENTARIO!$B$2:C996,2,0),"")</f>
        <v/>
      </c>
      <c r="D459" s="71"/>
      <c r="E459" s="71"/>
      <c r="F459" s="61" t="str">
        <f t="shared" si="3"/>
        <v/>
      </c>
      <c r="G459" s="71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69"/>
      <c r="C460" s="58" t="str">
        <f>IFERROR(VLOOKUP(B460 ,INVENTARIO!$B$2:C996,2,0),"")</f>
        <v/>
      </c>
      <c r="D460" s="71"/>
      <c r="E460" s="71"/>
      <c r="F460" s="61" t="str">
        <f t="shared" si="3"/>
        <v/>
      </c>
      <c r="G460" s="71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69"/>
      <c r="C461" s="58" t="str">
        <f>IFERROR(VLOOKUP(B461 ,INVENTARIO!$B$2:C996,2,0),"")</f>
        <v/>
      </c>
      <c r="D461" s="71"/>
      <c r="E461" s="71"/>
      <c r="F461" s="61" t="str">
        <f t="shared" si="3"/>
        <v/>
      </c>
      <c r="G461" s="71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69"/>
      <c r="C462" s="58" t="str">
        <f>IFERROR(VLOOKUP(B462 ,INVENTARIO!$B$2:C996,2,0),"")</f>
        <v/>
      </c>
      <c r="D462" s="71"/>
      <c r="E462" s="71"/>
      <c r="F462" s="61" t="str">
        <f t="shared" si="3"/>
        <v/>
      </c>
      <c r="G462" s="71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69"/>
      <c r="C463" s="58" t="str">
        <f>IFERROR(VLOOKUP(B463 ,INVENTARIO!$B$2:C996,2,0),"")</f>
        <v/>
      </c>
      <c r="D463" s="71"/>
      <c r="E463" s="71"/>
      <c r="F463" s="61" t="str">
        <f t="shared" si="3"/>
        <v/>
      </c>
      <c r="G463" s="71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69"/>
      <c r="C464" s="58" t="str">
        <f>IFERROR(VLOOKUP(B464 ,INVENTARIO!$B$2:C996,2,0),"")</f>
        <v/>
      </c>
      <c r="D464" s="71"/>
      <c r="E464" s="71"/>
      <c r="F464" s="61" t="str">
        <f t="shared" si="3"/>
        <v/>
      </c>
      <c r="G464" s="71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69"/>
      <c r="C465" s="58" t="str">
        <f>IFERROR(VLOOKUP(B465 ,INVENTARIO!$B$2:C996,2,0),"")</f>
        <v/>
      </c>
      <c r="D465" s="71"/>
      <c r="E465" s="71"/>
      <c r="F465" s="61" t="str">
        <f t="shared" si="3"/>
        <v/>
      </c>
      <c r="G465" s="71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69"/>
      <c r="C466" s="58" t="str">
        <f>IFERROR(VLOOKUP(B466 ,INVENTARIO!$B$2:C996,2,0),"")</f>
        <v/>
      </c>
      <c r="D466" s="71"/>
      <c r="E466" s="71"/>
      <c r="F466" s="61" t="str">
        <f t="shared" si="3"/>
        <v/>
      </c>
      <c r="G466" s="71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69"/>
      <c r="C467" s="58" t="str">
        <f>IFERROR(VLOOKUP(B467 ,INVENTARIO!$B$2:C996,2,0),"")</f>
        <v/>
      </c>
      <c r="D467" s="71"/>
      <c r="E467" s="71"/>
      <c r="F467" s="61" t="str">
        <f t="shared" si="3"/>
        <v/>
      </c>
      <c r="G467" s="71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69"/>
      <c r="C468" s="58" t="str">
        <f>IFERROR(VLOOKUP(B468 ,INVENTARIO!$B$2:C996,2,0),"")</f>
        <v/>
      </c>
      <c r="D468" s="71"/>
      <c r="E468" s="71"/>
      <c r="F468" s="61" t="str">
        <f t="shared" si="3"/>
        <v/>
      </c>
      <c r="G468" s="71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69"/>
      <c r="C469" s="58" t="str">
        <f>IFERROR(VLOOKUP(B469 ,INVENTARIO!$B$2:C996,2,0),"")</f>
        <v/>
      </c>
      <c r="D469" s="71"/>
      <c r="E469" s="71"/>
      <c r="F469" s="61" t="str">
        <f t="shared" si="3"/>
        <v/>
      </c>
      <c r="G469" s="71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69"/>
      <c r="C470" s="58" t="str">
        <f>IFERROR(VLOOKUP(B470 ,INVENTARIO!$B$2:C996,2,0),"")</f>
        <v/>
      </c>
      <c r="D470" s="71"/>
      <c r="E470" s="71"/>
      <c r="F470" s="61" t="str">
        <f t="shared" si="3"/>
        <v/>
      </c>
      <c r="G470" s="71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69"/>
      <c r="C471" s="58" t="str">
        <f>IFERROR(VLOOKUP(B471 ,INVENTARIO!$B$2:C996,2,0),"")</f>
        <v/>
      </c>
      <c r="D471" s="71"/>
      <c r="E471" s="71"/>
      <c r="F471" s="61" t="str">
        <f t="shared" si="3"/>
        <v/>
      </c>
      <c r="G471" s="71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69"/>
      <c r="C472" s="58" t="str">
        <f>IFERROR(VLOOKUP(B472 ,INVENTARIO!$B$2:C996,2,0),"")</f>
        <v/>
      </c>
      <c r="D472" s="71"/>
      <c r="E472" s="71"/>
      <c r="F472" s="61" t="str">
        <f t="shared" si="3"/>
        <v/>
      </c>
      <c r="G472" s="71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69"/>
      <c r="C473" s="58" t="str">
        <f>IFERROR(VLOOKUP(B473 ,INVENTARIO!$B$2:C996,2,0),"")</f>
        <v/>
      </c>
      <c r="D473" s="71"/>
      <c r="E473" s="71"/>
      <c r="F473" s="61" t="str">
        <f t="shared" si="3"/>
        <v/>
      </c>
      <c r="G473" s="71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69"/>
      <c r="C474" s="58" t="str">
        <f>IFERROR(VLOOKUP(B474 ,INVENTARIO!$B$2:C996,2,0),"")</f>
        <v/>
      </c>
      <c r="D474" s="71"/>
      <c r="E474" s="71"/>
      <c r="F474" s="61" t="str">
        <f t="shared" si="3"/>
        <v/>
      </c>
      <c r="G474" s="71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69"/>
      <c r="C475" s="58" t="str">
        <f>IFERROR(VLOOKUP(B475 ,INVENTARIO!$B$2:C996,2,0),"")</f>
        <v/>
      </c>
      <c r="D475" s="71"/>
      <c r="E475" s="71"/>
      <c r="F475" s="61" t="str">
        <f t="shared" si="3"/>
        <v/>
      </c>
      <c r="G475" s="71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69"/>
      <c r="C476" s="58" t="str">
        <f>IFERROR(VLOOKUP(B476 ,INVENTARIO!$B$2:C996,2,0),"")</f>
        <v/>
      </c>
      <c r="D476" s="71"/>
      <c r="E476" s="71"/>
      <c r="F476" s="61" t="str">
        <f t="shared" si="3"/>
        <v/>
      </c>
      <c r="G476" s="71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69"/>
      <c r="C477" s="58" t="str">
        <f>IFERROR(VLOOKUP(B477 ,INVENTARIO!$B$2:C996,2,0),"")</f>
        <v/>
      </c>
      <c r="D477" s="71"/>
      <c r="E477" s="71"/>
      <c r="F477" s="61" t="str">
        <f t="shared" si="3"/>
        <v/>
      </c>
      <c r="G477" s="71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69"/>
      <c r="C478" s="58" t="str">
        <f>IFERROR(VLOOKUP(B478 ,INVENTARIO!$B$2:C996,2,0),"")</f>
        <v/>
      </c>
      <c r="D478" s="71"/>
      <c r="E478" s="71"/>
      <c r="F478" s="61" t="str">
        <f t="shared" si="3"/>
        <v/>
      </c>
      <c r="G478" s="71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69"/>
      <c r="C479" s="58" t="str">
        <f>IFERROR(VLOOKUP(B479 ,INVENTARIO!$B$2:C996,2,0),"")</f>
        <v/>
      </c>
      <c r="D479" s="71"/>
      <c r="E479" s="71"/>
      <c r="F479" s="61" t="str">
        <f t="shared" si="3"/>
        <v/>
      </c>
      <c r="G479" s="71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69"/>
      <c r="C480" s="58" t="str">
        <f>IFERROR(VLOOKUP(B480 ,INVENTARIO!$B$2:C996,2,0),"")</f>
        <v/>
      </c>
      <c r="D480" s="71"/>
      <c r="E480" s="71"/>
      <c r="F480" s="61" t="str">
        <f t="shared" si="3"/>
        <v/>
      </c>
      <c r="G480" s="71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69"/>
      <c r="C481" s="58" t="str">
        <f>IFERROR(VLOOKUP(B481 ,INVENTARIO!$B$2:C996,2,0),"")</f>
        <v/>
      </c>
      <c r="D481" s="71"/>
      <c r="E481" s="71"/>
      <c r="F481" s="61" t="str">
        <f t="shared" si="3"/>
        <v/>
      </c>
      <c r="G481" s="71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69"/>
      <c r="C482" s="58" t="str">
        <f>IFERROR(VLOOKUP(B482 ,INVENTARIO!$B$2:C996,2,0),"")</f>
        <v/>
      </c>
      <c r="D482" s="71"/>
      <c r="E482" s="71"/>
      <c r="F482" s="61" t="str">
        <f t="shared" si="3"/>
        <v/>
      </c>
      <c r="G482" s="71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69"/>
      <c r="C483" s="58" t="str">
        <f>IFERROR(VLOOKUP(B483 ,INVENTARIO!$B$2:C996,2,0),"")</f>
        <v/>
      </c>
      <c r="D483" s="71"/>
      <c r="E483" s="71"/>
      <c r="F483" s="61" t="str">
        <f t="shared" si="3"/>
        <v/>
      </c>
      <c r="G483" s="71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69"/>
      <c r="C484" s="58" t="str">
        <f>IFERROR(VLOOKUP(B484 ,INVENTARIO!$B$2:C996,2,0),"")</f>
        <v/>
      </c>
      <c r="D484" s="71"/>
      <c r="E484" s="71"/>
      <c r="F484" s="61" t="str">
        <f t="shared" si="3"/>
        <v/>
      </c>
      <c r="G484" s="71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69"/>
      <c r="C485" s="58" t="str">
        <f>IFERROR(VLOOKUP(B485 ,INVENTARIO!$B$2:C996,2,0),"")</f>
        <v/>
      </c>
      <c r="D485" s="71"/>
      <c r="E485" s="71"/>
      <c r="F485" s="61" t="str">
        <f t="shared" si="3"/>
        <v/>
      </c>
      <c r="G485" s="71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69"/>
      <c r="C486" s="58" t="str">
        <f>IFERROR(VLOOKUP(B486 ,INVENTARIO!$B$2:C996,2,0),"")</f>
        <v/>
      </c>
      <c r="D486" s="71"/>
      <c r="E486" s="71"/>
      <c r="F486" s="61" t="str">
        <f t="shared" si="3"/>
        <v/>
      </c>
      <c r="G486" s="71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69"/>
      <c r="C487" s="58" t="str">
        <f>IFERROR(VLOOKUP(B487 ,INVENTARIO!$B$2:C996,2,0),"")</f>
        <v/>
      </c>
      <c r="D487" s="71"/>
      <c r="E487" s="71"/>
      <c r="F487" s="61" t="str">
        <f t="shared" si="3"/>
        <v/>
      </c>
      <c r="G487" s="71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69"/>
      <c r="C488" s="58" t="str">
        <f>IFERROR(VLOOKUP(B488 ,INVENTARIO!$B$2:C996,2,0),"")</f>
        <v/>
      </c>
      <c r="D488" s="71"/>
      <c r="E488" s="71"/>
      <c r="F488" s="61" t="str">
        <f t="shared" si="3"/>
        <v/>
      </c>
      <c r="G488" s="71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69"/>
      <c r="C489" s="58" t="str">
        <f>IFERROR(VLOOKUP(B489 ,INVENTARIO!$B$2:C996,2,0),"")</f>
        <v/>
      </c>
      <c r="D489" s="71"/>
      <c r="E489" s="71"/>
      <c r="F489" s="61" t="str">
        <f t="shared" si="3"/>
        <v/>
      </c>
      <c r="G489" s="71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69"/>
      <c r="C490" s="58" t="str">
        <f>IFERROR(VLOOKUP(B490 ,INVENTARIO!$B$2:C996,2,0),"")</f>
        <v/>
      </c>
      <c r="D490" s="71"/>
      <c r="E490" s="71"/>
      <c r="F490" s="61" t="str">
        <f t="shared" si="3"/>
        <v/>
      </c>
      <c r="G490" s="71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69"/>
      <c r="C491" s="58" t="str">
        <f>IFERROR(VLOOKUP(B491 ,INVENTARIO!$B$2:C996,2,0),"")</f>
        <v/>
      </c>
      <c r="D491" s="71"/>
      <c r="E491" s="71"/>
      <c r="F491" s="61" t="str">
        <f t="shared" si="3"/>
        <v/>
      </c>
      <c r="G491" s="71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69"/>
      <c r="C492" s="58" t="str">
        <f>IFERROR(VLOOKUP(B492 ,INVENTARIO!$B$2:C996,2,0),"")</f>
        <v/>
      </c>
      <c r="D492" s="71"/>
      <c r="E492" s="71"/>
      <c r="F492" s="61" t="str">
        <f t="shared" si="3"/>
        <v/>
      </c>
      <c r="G492" s="71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69"/>
      <c r="C493" s="58" t="str">
        <f>IFERROR(VLOOKUP(B493 ,INVENTARIO!$B$2:C996,2,0),"")</f>
        <v/>
      </c>
      <c r="D493" s="71"/>
      <c r="E493" s="71"/>
      <c r="F493" s="61" t="str">
        <f t="shared" si="3"/>
        <v/>
      </c>
      <c r="G493" s="71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69"/>
      <c r="C494" s="58" t="str">
        <f>IFERROR(VLOOKUP(B494 ,INVENTARIO!$B$2:C996,2,0),"")</f>
        <v/>
      </c>
      <c r="D494" s="71"/>
      <c r="E494" s="71"/>
      <c r="F494" s="61" t="str">
        <f t="shared" si="3"/>
        <v/>
      </c>
      <c r="G494" s="71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69"/>
      <c r="C495" s="58" t="str">
        <f>IFERROR(VLOOKUP(B495 ,INVENTARIO!$B$2:C996,2,0),"")</f>
        <v/>
      </c>
      <c r="D495" s="71"/>
      <c r="E495" s="71"/>
      <c r="F495" s="61" t="str">
        <f t="shared" si="3"/>
        <v/>
      </c>
      <c r="G495" s="71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69"/>
      <c r="C496" s="58" t="str">
        <f>IFERROR(VLOOKUP(B496 ,INVENTARIO!$B$2:C996,2,0),"")</f>
        <v/>
      </c>
      <c r="D496" s="71"/>
      <c r="E496" s="71"/>
      <c r="F496" s="61" t="str">
        <f t="shared" si="3"/>
        <v/>
      </c>
      <c r="G496" s="71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69"/>
      <c r="C497" s="58" t="str">
        <f>IFERROR(VLOOKUP(B497 ,INVENTARIO!$B$2:C996,2,0),"")</f>
        <v/>
      </c>
      <c r="D497" s="71"/>
      <c r="E497" s="71"/>
      <c r="F497" s="61" t="str">
        <f t="shared" si="3"/>
        <v/>
      </c>
      <c r="G497" s="71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69"/>
      <c r="C498" s="58" t="str">
        <f>IFERROR(VLOOKUP(B498 ,INVENTARIO!$B$2:C996,2,0),"")</f>
        <v/>
      </c>
      <c r="D498" s="71"/>
      <c r="E498" s="71"/>
      <c r="F498" s="61" t="str">
        <f t="shared" si="3"/>
        <v/>
      </c>
      <c r="G498" s="71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69"/>
      <c r="C499" s="58" t="str">
        <f>IFERROR(VLOOKUP(B499 ,INVENTARIO!$B$2:C996,2,0),"")</f>
        <v/>
      </c>
      <c r="D499" s="71"/>
      <c r="E499" s="71"/>
      <c r="F499" s="61" t="str">
        <f t="shared" si="3"/>
        <v/>
      </c>
      <c r="G499" s="71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69"/>
      <c r="C500" s="58" t="str">
        <f>IFERROR(VLOOKUP(B500 ,INVENTARIO!$B$2:C996,2,0),"")</f>
        <v/>
      </c>
      <c r="D500" s="71"/>
      <c r="E500" s="71"/>
      <c r="F500" s="61" t="str">
        <f t="shared" si="3"/>
        <v/>
      </c>
      <c r="G500" s="71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69"/>
      <c r="C501" s="58" t="str">
        <f>IFERROR(VLOOKUP(B501 ,INVENTARIO!$B$2:C996,2,0),"")</f>
        <v/>
      </c>
      <c r="D501" s="71"/>
      <c r="E501" s="71"/>
      <c r="F501" s="61" t="str">
        <f t="shared" si="3"/>
        <v/>
      </c>
      <c r="G501" s="71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69"/>
      <c r="C502" s="58" t="str">
        <f>IFERROR(VLOOKUP(B502 ,INVENTARIO!$B$2:C996,2,0),"")</f>
        <v/>
      </c>
      <c r="D502" s="71"/>
      <c r="E502" s="71"/>
      <c r="F502" s="61" t="str">
        <f t="shared" si="3"/>
        <v/>
      </c>
      <c r="G502" s="71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69"/>
      <c r="C503" s="58" t="str">
        <f>IFERROR(VLOOKUP(B503 ,INVENTARIO!$B$2:C996,2,0),"")</f>
        <v/>
      </c>
      <c r="D503" s="71"/>
      <c r="E503" s="71"/>
      <c r="F503" s="61" t="str">
        <f t="shared" si="3"/>
        <v/>
      </c>
      <c r="G503" s="71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69"/>
      <c r="C504" s="58" t="str">
        <f>IFERROR(VLOOKUP(B504 ,INVENTARIO!$B$2:C996,2,0),"")</f>
        <v/>
      </c>
      <c r="D504" s="71"/>
      <c r="E504" s="71"/>
      <c r="F504" s="61" t="str">
        <f t="shared" si="3"/>
        <v/>
      </c>
      <c r="G504" s="71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69"/>
      <c r="C505" s="58" t="str">
        <f>IFERROR(VLOOKUP(B505 ,INVENTARIO!$B$2:C996,2,0),"")</f>
        <v/>
      </c>
      <c r="D505" s="71"/>
      <c r="E505" s="71"/>
      <c r="F505" s="61" t="str">
        <f t="shared" si="3"/>
        <v/>
      </c>
      <c r="G505" s="71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69"/>
      <c r="C506" s="58" t="str">
        <f>IFERROR(VLOOKUP(B506 ,INVENTARIO!$B$2:C996,2,0),"")</f>
        <v/>
      </c>
      <c r="D506" s="71"/>
      <c r="E506" s="71"/>
      <c r="F506" s="61" t="str">
        <f t="shared" si="3"/>
        <v/>
      </c>
      <c r="G506" s="71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69"/>
      <c r="C507" s="58" t="str">
        <f>IFERROR(VLOOKUP(B507 ,INVENTARIO!$B$2:C996,2,0),"")</f>
        <v/>
      </c>
      <c r="D507" s="71"/>
      <c r="E507" s="71"/>
      <c r="F507" s="61" t="str">
        <f t="shared" si="3"/>
        <v/>
      </c>
      <c r="G507" s="71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69"/>
      <c r="C508" s="58" t="str">
        <f>IFERROR(VLOOKUP(B508 ,INVENTARIO!$B$2:C996,2,0),"")</f>
        <v/>
      </c>
      <c r="D508" s="71"/>
      <c r="E508" s="71"/>
      <c r="F508" s="61" t="str">
        <f t="shared" si="3"/>
        <v/>
      </c>
      <c r="G508" s="71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69"/>
      <c r="C509" s="58" t="str">
        <f>IFERROR(VLOOKUP(B509 ,INVENTARIO!$B$2:C996,2,0),"")</f>
        <v/>
      </c>
      <c r="D509" s="71"/>
      <c r="E509" s="71"/>
      <c r="F509" s="61" t="str">
        <f t="shared" si="3"/>
        <v/>
      </c>
      <c r="G509" s="71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69"/>
      <c r="C510" s="58" t="str">
        <f>IFERROR(VLOOKUP(B510 ,INVENTARIO!$B$2:C996,2,0),"")</f>
        <v/>
      </c>
      <c r="D510" s="71"/>
      <c r="E510" s="71"/>
      <c r="F510" s="61" t="str">
        <f t="shared" si="3"/>
        <v/>
      </c>
      <c r="G510" s="71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69"/>
      <c r="C511" s="58" t="str">
        <f>IFERROR(VLOOKUP(B511 ,INVENTARIO!$B$2:C996,2,0),"")</f>
        <v/>
      </c>
      <c r="D511" s="71"/>
      <c r="E511" s="71"/>
      <c r="F511" s="61" t="str">
        <f t="shared" si="3"/>
        <v/>
      </c>
      <c r="G511" s="71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69"/>
      <c r="C512" s="58" t="str">
        <f>IFERROR(VLOOKUP(B512 ,INVENTARIO!$B$2:C996,2,0),"")</f>
        <v/>
      </c>
      <c r="D512" s="71"/>
      <c r="E512" s="71"/>
      <c r="F512" s="61" t="str">
        <f t="shared" si="3"/>
        <v/>
      </c>
      <c r="G512" s="71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69"/>
      <c r="C513" s="58" t="str">
        <f>IFERROR(VLOOKUP(B513 ,INVENTARIO!$B$2:C996,2,0),"")</f>
        <v/>
      </c>
      <c r="D513" s="71"/>
      <c r="E513" s="71"/>
      <c r="F513" s="61" t="str">
        <f t="shared" si="3"/>
        <v/>
      </c>
      <c r="G513" s="71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69"/>
      <c r="C514" s="58" t="str">
        <f>IFERROR(VLOOKUP(B514 ,INVENTARIO!$B$2:C996,2,0),"")</f>
        <v/>
      </c>
      <c r="D514" s="71"/>
      <c r="E514" s="71"/>
      <c r="F514" s="61" t="str">
        <f t="shared" si="3"/>
        <v/>
      </c>
      <c r="G514" s="71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69"/>
      <c r="C515" s="58" t="str">
        <f>IFERROR(VLOOKUP(B515 ,INVENTARIO!$B$2:C996,2,0),"")</f>
        <v/>
      </c>
      <c r="D515" s="71"/>
      <c r="E515" s="71"/>
      <c r="F515" s="61" t="str">
        <f t="shared" si="3"/>
        <v/>
      </c>
      <c r="G515" s="71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69"/>
      <c r="C516" s="58" t="str">
        <f>IFERROR(VLOOKUP(B516 ,INVENTARIO!$B$2:C996,2,0),"")</f>
        <v/>
      </c>
      <c r="D516" s="71"/>
      <c r="E516" s="71"/>
      <c r="F516" s="61" t="str">
        <f t="shared" si="3"/>
        <v/>
      </c>
      <c r="G516" s="71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69"/>
      <c r="C517" s="58" t="str">
        <f>IFERROR(VLOOKUP(B517 ,INVENTARIO!$B$2:C996,2,0),"")</f>
        <v/>
      </c>
      <c r="D517" s="71"/>
      <c r="E517" s="71"/>
      <c r="F517" s="61" t="str">
        <f t="shared" si="3"/>
        <v/>
      </c>
      <c r="G517" s="71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69"/>
      <c r="C518" s="58" t="str">
        <f>IFERROR(VLOOKUP(B518 ,INVENTARIO!$B$2:C996,2,0),"")</f>
        <v/>
      </c>
      <c r="D518" s="71"/>
      <c r="E518" s="71"/>
      <c r="F518" s="61" t="str">
        <f t="shared" si="3"/>
        <v/>
      </c>
      <c r="G518" s="71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69"/>
      <c r="C519" s="58" t="str">
        <f>IFERROR(VLOOKUP(B519 ,INVENTARIO!$B$2:C996,2,0),"")</f>
        <v/>
      </c>
      <c r="D519" s="71"/>
      <c r="E519" s="71"/>
      <c r="F519" s="61" t="str">
        <f t="shared" si="3"/>
        <v/>
      </c>
      <c r="G519" s="71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69"/>
      <c r="C520" s="58" t="str">
        <f>IFERROR(VLOOKUP(B520 ,INVENTARIO!$B$2:C996,2,0),"")</f>
        <v/>
      </c>
      <c r="D520" s="71"/>
      <c r="E520" s="71"/>
      <c r="F520" s="61" t="str">
        <f t="shared" si="3"/>
        <v/>
      </c>
      <c r="G520" s="71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69"/>
      <c r="C521" s="58" t="str">
        <f>IFERROR(VLOOKUP(B521 ,INVENTARIO!$B$2:C996,2,0),"")</f>
        <v/>
      </c>
      <c r="D521" s="71"/>
      <c r="E521" s="71"/>
      <c r="F521" s="61" t="str">
        <f t="shared" si="3"/>
        <v/>
      </c>
      <c r="G521" s="71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69"/>
      <c r="C522" s="58" t="str">
        <f>IFERROR(VLOOKUP(B522 ,INVENTARIO!$B$2:C996,2,0),"")</f>
        <v/>
      </c>
      <c r="D522" s="71"/>
      <c r="E522" s="71"/>
      <c r="F522" s="61" t="str">
        <f t="shared" si="3"/>
        <v/>
      </c>
      <c r="G522" s="71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69"/>
      <c r="C523" s="58" t="str">
        <f>IFERROR(VLOOKUP(B523 ,INVENTARIO!$B$2:C996,2,0),"")</f>
        <v/>
      </c>
      <c r="D523" s="71"/>
      <c r="E523" s="71"/>
      <c r="F523" s="61" t="str">
        <f t="shared" si="3"/>
        <v/>
      </c>
      <c r="G523" s="71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69"/>
      <c r="C524" s="58" t="str">
        <f>IFERROR(VLOOKUP(B524 ,INVENTARIO!$B$2:C996,2,0),"")</f>
        <v/>
      </c>
      <c r="D524" s="71"/>
      <c r="E524" s="71"/>
      <c r="F524" s="61" t="str">
        <f t="shared" si="3"/>
        <v/>
      </c>
      <c r="G524" s="71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69"/>
      <c r="C525" s="58" t="str">
        <f>IFERROR(VLOOKUP(B525 ,INVENTARIO!$B$2:C996,2,0),"")</f>
        <v/>
      </c>
      <c r="D525" s="71"/>
      <c r="E525" s="71"/>
      <c r="F525" s="61" t="str">
        <f t="shared" si="3"/>
        <v/>
      </c>
      <c r="G525" s="71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69"/>
      <c r="C526" s="58" t="str">
        <f>IFERROR(VLOOKUP(B526 ,INVENTARIO!$B$2:C996,2,0),"")</f>
        <v/>
      </c>
      <c r="D526" s="71"/>
      <c r="E526" s="71"/>
      <c r="F526" s="61" t="str">
        <f t="shared" si="3"/>
        <v/>
      </c>
      <c r="G526" s="71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69"/>
      <c r="C527" s="58" t="str">
        <f>IFERROR(VLOOKUP(B527 ,INVENTARIO!$B$2:C996,2,0),"")</f>
        <v/>
      </c>
      <c r="D527" s="71"/>
      <c r="E527" s="71"/>
      <c r="F527" s="61" t="str">
        <f t="shared" si="3"/>
        <v/>
      </c>
      <c r="G527" s="71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69"/>
      <c r="C528" s="58" t="str">
        <f>IFERROR(VLOOKUP(B528 ,INVENTARIO!$B$2:C996,2,0),"")</f>
        <v/>
      </c>
      <c r="D528" s="71"/>
      <c r="E528" s="71"/>
      <c r="F528" s="61" t="str">
        <f t="shared" si="3"/>
        <v/>
      </c>
      <c r="G528" s="71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69"/>
      <c r="C529" s="58" t="str">
        <f>IFERROR(VLOOKUP(B529 ,INVENTARIO!$B$2:C996,2,0),"")</f>
        <v/>
      </c>
      <c r="D529" s="71"/>
      <c r="E529" s="71"/>
      <c r="F529" s="61" t="str">
        <f t="shared" si="3"/>
        <v/>
      </c>
      <c r="G529" s="71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69"/>
      <c r="C530" s="58" t="str">
        <f>IFERROR(VLOOKUP(B530 ,INVENTARIO!$B$2:C996,2,0),"")</f>
        <v/>
      </c>
      <c r="D530" s="71"/>
      <c r="E530" s="71"/>
      <c r="F530" s="61" t="str">
        <f t="shared" si="3"/>
        <v/>
      </c>
      <c r="G530" s="71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69"/>
      <c r="C531" s="58" t="str">
        <f>IFERROR(VLOOKUP(B531 ,INVENTARIO!$B$2:C996,2,0),"")</f>
        <v/>
      </c>
      <c r="D531" s="71"/>
      <c r="E531" s="71"/>
      <c r="F531" s="61" t="str">
        <f t="shared" si="3"/>
        <v/>
      </c>
      <c r="G531" s="71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69"/>
      <c r="C532" s="58" t="str">
        <f>IFERROR(VLOOKUP(B532 ,INVENTARIO!$B$2:C996,2,0),"")</f>
        <v/>
      </c>
      <c r="D532" s="71"/>
      <c r="E532" s="71"/>
      <c r="F532" s="61" t="str">
        <f t="shared" si="3"/>
        <v/>
      </c>
      <c r="G532" s="71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69"/>
      <c r="C533" s="58" t="str">
        <f>IFERROR(VLOOKUP(B533 ,INVENTARIO!$B$2:C996,2,0),"")</f>
        <v/>
      </c>
      <c r="D533" s="71"/>
      <c r="E533" s="71"/>
      <c r="F533" s="61" t="str">
        <f t="shared" si="3"/>
        <v/>
      </c>
      <c r="G533" s="71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69"/>
      <c r="C534" s="58" t="str">
        <f>IFERROR(VLOOKUP(B534 ,INVENTARIO!$B$2:C996,2,0),"")</f>
        <v/>
      </c>
      <c r="D534" s="71"/>
      <c r="E534" s="71"/>
      <c r="F534" s="61" t="str">
        <f t="shared" si="3"/>
        <v/>
      </c>
      <c r="G534" s="71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69"/>
      <c r="C535" s="58" t="str">
        <f>IFERROR(VLOOKUP(B535 ,INVENTARIO!$B$2:C996,2,0),"")</f>
        <v/>
      </c>
      <c r="D535" s="71"/>
      <c r="E535" s="71"/>
      <c r="F535" s="61" t="str">
        <f t="shared" si="3"/>
        <v/>
      </c>
      <c r="G535" s="71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69"/>
      <c r="C536" s="58" t="str">
        <f>IFERROR(VLOOKUP(B536 ,INVENTARIO!$B$2:C996,2,0),"")</f>
        <v/>
      </c>
      <c r="D536" s="71"/>
      <c r="E536" s="71"/>
      <c r="F536" s="61" t="str">
        <f t="shared" si="3"/>
        <v/>
      </c>
      <c r="G536" s="71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69"/>
      <c r="C537" s="58" t="str">
        <f>IFERROR(VLOOKUP(B537 ,INVENTARIO!$B$2:C996,2,0),"")</f>
        <v/>
      </c>
      <c r="D537" s="71"/>
      <c r="E537" s="71"/>
      <c r="F537" s="61" t="str">
        <f t="shared" si="3"/>
        <v/>
      </c>
      <c r="G537" s="71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69"/>
      <c r="C538" s="58" t="str">
        <f>IFERROR(VLOOKUP(B538 ,INVENTARIO!$B$2:C996,2,0),"")</f>
        <v/>
      </c>
      <c r="D538" s="71"/>
      <c r="E538" s="71"/>
      <c r="F538" s="61" t="str">
        <f t="shared" si="3"/>
        <v/>
      </c>
      <c r="G538" s="71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69"/>
      <c r="C539" s="58" t="str">
        <f>IFERROR(VLOOKUP(B539 ,INVENTARIO!$B$2:C996,2,0),"")</f>
        <v/>
      </c>
      <c r="D539" s="71"/>
      <c r="E539" s="71"/>
      <c r="F539" s="61" t="str">
        <f t="shared" si="3"/>
        <v/>
      </c>
      <c r="G539" s="71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69"/>
      <c r="C540" s="58" t="str">
        <f>IFERROR(VLOOKUP(B540 ,INVENTARIO!$B$2:C996,2,0),"")</f>
        <v/>
      </c>
      <c r="D540" s="71"/>
      <c r="E540" s="71"/>
      <c r="F540" s="61" t="str">
        <f t="shared" si="3"/>
        <v/>
      </c>
      <c r="G540" s="71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69"/>
      <c r="C541" s="58" t="str">
        <f>IFERROR(VLOOKUP(B541 ,INVENTARIO!$B$2:C996,2,0),"")</f>
        <v/>
      </c>
      <c r="D541" s="71"/>
      <c r="E541" s="71"/>
      <c r="F541" s="61" t="str">
        <f t="shared" si="3"/>
        <v/>
      </c>
      <c r="G541" s="71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69"/>
      <c r="C542" s="58" t="str">
        <f>IFERROR(VLOOKUP(B542 ,INVENTARIO!$B$2:C996,2,0),"")</f>
        <v/>
      </c>
      <c r="D542" s="71"/>
      <c r="E542" s="71"/>
      <c r="F542" s="61" t="str">
        <f t="shared" si="3"/>
        <v/>
      </c>
      <c r="G542" s="71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69"/>
      <c r="C543" s="58" t="str">
        <f>IFERROR(VLOOKUP(B543 ,INVENTARIO!$B$2:C996,2,0),"")</f>
        <v/>
      </c>
      <c r="D543" s="71"/>
      <c r="E543" s="71"/>
      <c r="F543" s="61" t="str">
        <f t="shared" si="3"/>
        <v/>
      </c>
      <c r="G543" s="71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69"/>
      <c r="C544" s="58" t="str">
        <f>IFERROR(VLOOKUP(B544 ,INVENTARIO!$B$2:C996,2,0),"")</f>
        <v/>
      </c>
      <c r="D544" s="71"/>
      <c r="E544" s="71"/>
      <c r="F544" s="61" t="str">
        <f t="shared" si="3"/>
        <v/>
      </c>
      <c r="G544" s="71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69"/>
      <c r="C545" s="58" t="str">
        <f>IFERROR(VLOOKUP(B545 ,INVENTARIO!$B$2:C996,2,0),"")</f>
        <v/>
      </c>
      <c r="D545" s="71"/>
      <c r="E545" s="71"/>
      <c r="F545" s="61" t="str">
        <f t="shared" si="3"/>
        <v/>
      </c>
      <c r="G545" s="71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69"/>
      <c r="C546" s="58" t="str">
        <f>IFERROR(VLOOKUP(B546 ,INVENTARIO!$B$2:C996,2,0),"")</f>
        <v/>
      </c>
      <c r="D546" s="71"/>
      <c r="E546" s="71"/>
      <c r="F546" s="61" t="str">
        <f t="shared" si="3"/>
        <v/>
      </c>
      <c r="G546" s="71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69"/>
      <c r="C547" s="58" t="str">
        <f>IFERROR(VLOOKUP(B547 ,INVENTARIO!$B$2:C996,2,0),"")</f>
        <v/>
      </c>
      <c r="D547" s="71"/>
      <c r="E547" s="71"/>
      <c r="F547" s="61" t="str">
        <f t="shared" si="3"/>
        <v/>
      </c>
      <c r="G547" s="71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69"/>
      <c r="C548" s="58" t="str">
        <f>IFERROR(VLOOKUP(B548 ,INVENTARIO!$B$2:C996,2,0),"")</f>
        <v/>
      </c>
      <c r="D548" s="71"/>
      <c r="E548" s="71"/>
      <c r="F548" s="61" t="str">
        <f t="shared" si="3"/>
        <v/>
      </c>
      <c r="G548" s="71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69"/>
      <c r="C549" s="58" t="str">
        <f>IFERROR(VLOOKUP(B549 ,INVENTARIO!$B$2:C996,2,0),"")</f>
        <v/>
      </c>
      <c r="D549" s="71"/>
      <c r="E549" s="71"/>
      <c r="F549" s="61" t="str">
        <f t="shared" si="3"/>
        <v/>
      </c>
      <c r="G549" s="71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69"/>
      <c r="C550" s="58" t="str">
        <f>IFERROR(VLOOKUP(B550 ,INVENTARIO!$B$2:C996,2,0),"")</f>
        <v/>
      </c>
      <c r="D550" s="71"/>
      <c r="E550" s="71"/>
      <c r="F550" s="61" t="str">
        <f t="shared" si="3"/>
        <v/>
      </c>
      <c r="G550" s="71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69"/>
      <c r="C551" s="58" t="str">
        <f>IFERROR(VLOOKUP(B551 ,INVENTARIO!$B$2:C996,2,0),"")</f>
        <v/>
      </c>
      <c r="D551" s="71"/>
      <c r="E551" s="71"/>
      <c r="F551" s="61" t="str">
        <f t="shared" si="3"/>
        <v/>
      </c>
      <c r="G551" s="71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69"/>
      <c r="C552" s="58" t="str">
        <f>IFERROR(VLOOKUP(B552 ,INVENTARIO!$B$2:C996,2,0),"")</f>
        <v/>
      </c>
      <c r="D552" s="71"/>
      <c r="E552" s="71"/>
      <c r="F552" s="61" t="str">
        <f t="shared" si="3"/>
        <v/>
      </c>
      <c r="G552" s="71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69"/>
      <c r="C553" s="58" t="str">
        <f>IFERROR(VLOOKUP(B553 ,INVENTARIO!$B$2:C996,2,0),"")</f>
        <v/>
      </c>
      <c r="D553" s="71"/>
      <c r="E553" s="71"/>
      <c r="F553" s="61" t="str">
        <f t="shared" si="3"/>
        <v/>
      </c>
      <c r="G553" s="71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69"/>
      <c r="C554" s="58" t="str">
        <f>IFERROR(VLOOKUP(B554 ,INVENTARIO!$B$2:C996,2,0),"")</f>
        <v/>
      </c>
      <c r="D554" s="71"/>
      <c r="E554" s="71"/>
      <c r="F554" s="61" t="str">
        <f t="shared" si="3"/>
        <v/>
      </c>
      <c r="G554" s="71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69"/>
      <c r="C555" s="58" t="str">
        <f>IFERROR(VLOOKUP(B555 ,INVENTARIO!$B$2:C996,2,0),"")</f>
        <v/>
      </c>
      <c r="D555" s="71"/>
      <c r="E555" s="71"/>
      <c r="F555" s="61" t="str">
        <f t="shared" si="3"/>
        <v/>
      </c>
      <c r="G555" s="71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69"/>
      <c r="C556" s="58" t="str">
        <f>IFERROR(VLOOKUP(B556 ,INVENTARIO!$B$2:C996,2,0),"")</f>
        <v/>
      </c>
      <c r="D556" s="71"/>
      <c r="E556" s="71"/>
      <c r="F556" s="61" t="str">
        <f t="shared" si="3"/>
        <v/>
      </c>
      <c r="G556" s="71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69"/>
      <c r="C557" s="58" t="str">
        <f>IFERROR(VLOOKUP(B557 ,INVENTARIO!$B$2:C996,2,0),"")</f>
        <v/>
      </c>
      <c r="D557" s="71"/>
      <c r="E557" s="71"/>
      <c r="F557" s="61" t="str">
        <f t="shared" si="3"/>
        <v/>
      </c>
      <c r="G557" s="71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69"/>
      <c r="C558" s="58" t="str">
        <f>IFERROR(VLOOKUP(B558 ,INVENTARIO!$B$2:C996,2,0),"")</f>
        <v/>
      </c>
      <c r="D558" s="71"/>
      <c r="E558" s="71"/>
      <c r="F558" s="61" t="str">
        <f t="shared" si="3"/>
        <v/>
      </c>
      <c r="G558" s="71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69"/>
      <c r="C559" s="58" t="str">
        <f>IFERROR(VLOOKUP(B559 ,INVENTARIO!$B$2:C996,2,0),"")</f>
        <v/>
      </c>
      <c r="D559" s="71"/>
      <c r="E559" s="71"/>
      <c r="F559" s="61" t="str">
        <f t="shared" si="3"/>
        <v/>
      </c>
      <c r="G559" s="71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69"/>
      <c r="C560" s="58" t="str">
        <f>IFERROR(VLOOKUP(B560 ,INVENTARIO!$B$2:C996,2,0),"")</f>
        <v/>
      </c>
      <c r="D560" s="71"/>
      <c r="E560" s="71"/>
      <c r="F560" s="61" t="str">
        <f t="shared" si="3"/>
        <v/>
      </c>
      <c r="G560" s="71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69"/>
      <c r="C561" s="58" t="str">
        <f>IFERROR(VLOOKUP(B561 ,INVENTARIO!$B$2:C996,2,0),"")</f>
        <v/>
      </c>
      <c r="D561" s="71"/>
      <c r="E561" s="71"/>
      <c r="F561" s="61" t="str">
        <f t="shared" si="3"/>
        <v/>
      </c>
      <c r="G561" s="71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69"/>
      <c r="C562" s="58" t="str">
        <f>IFERROR(VLOOKUP(B562 ,INVENTARIO!$B$2:C996,2,0),"")</f>
        <v/>
      </c>
      <c r="D562" s="71"/>
      <c r="E562" s="71"/>
      <c r="F562" s="61" t="str">
        <f t="shared" si="3"/>
        <v/>
      </c>
      <c r="G562" s="71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69"/>
      <c r="C563" s="58" t="str">
        <f>IFERROR(VLOOKUP(B563 ,INVENTARIO!$B$2:C996,2,0),"")</f>
        <v/>
      </c>
      <c r="D563" s="71"/>
      <c r="E563" s="71"/>
      <c r="F563" s="61" t="str">
        <f t="shared" si="3"/>
        <v/>
      </c>
      <c r="G563" s="71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69"/>
      <c r="C564" s="58" t="str">
        <f>IFERROR(VLOOKUP(B564 ,INVENTARIO!$B$2:C996,2,0),"")</f>
        <v/>
      </c>
      <c r="D564" s="71"/>
      <c r="E564" s="71"/>
      <c r="F564" s="61" t="str">
        <f t="shared" si="3"/>
        <v/>
      </c>
      <c r="G564" s="71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69"/>
      <c r="C565" s="58" t="str">
        <f>IFERROR(VLOOKUP(B565 ,INVENTARIO!$B$2:C996,2,0),"")</f>
        <v/>
      </c>
      <c r="D565" s="71"/>
      <c r="E565" s="71"/>
      <c r="F565" s="61" t="str">
        <f t="shared" si="3"/>
        <v/>
      </c>
      <c r="G565" s="71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69"/>
      <c r="C566" s="58" t="str">
        <f>IFERROR(VLOOKUP(B566 ,INVENTARIO!$B$2:C996,2,0),"")</f>
        <v/>
      </c>
      <c r="D566" s="71"/>
      <c r="E566" s="71"/>
      <c r="F566" s="61" t="str">
        <f t="shared" si="3"/>
        <v/>
      </c>
      <c r="G566" s="71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69"/>
      <c r="C567" s="58" t="str">
        <f>IFERROR(VLOOKUP(B567 ,INVENTARIO!$B$2:C996,2,0),"")</f>
        <v/>
      </c>
      <c r="D567" s="71"/>
      <c r="E567" s="71"/>
      <c r="F567" s="61" t="str">
        <f t="shared" si="3"/>
        <v/>
      </c>
      <c r="G567" s="71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69"/>
      <c r="C568" s="58" t="str">
        <f>IFERROR(VLOOKUP(B568 ,INVENTARIO!$B$2:C996,2,0),"")</f>
        <v/>
      </c>
      <c r="D568" s="71"/>
      <c r="E568" s="71"/>
      <c r="F568" s="61" t="str">
        <f t="shared" si="3"/>
        <v/>
      </c>
      <c r="G568" s="71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69"/>
      <c r="C569" s="58" t="str">
        <f>IFERROR(VLOOKUP(B569 ,INVENTARIO!$B$2:C996,2,0),"")</f>
        <v/>
      </c>
      <c r="D569" s="71"/>
      <c r="E569" s="71"/>
      <c r="F569" s="61" t="str">
        <f t="shared" si="3"/>
        <v/>
      </c>
      <c r="G569" s="71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69"/>
      <c r="C570" s="58" t="str">
        <f>IFERROR(VLOOKUP(B570 ,INVENTARIO!$B$2:C996,2,0),"")</f>
        <v/>
      </c>
      <c r="D570" s="71"/>
      <c r="E570" s="71"/>
      <c r="F570" s="61" t="str">
        <f t="shared" si="3"/>
        <v/>
      </c>
      <c r="G570" s="71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69"/>
      <c r="C571" s="58" t="str">
        <f>IFERROR(VLOOKUP(B571 ,INVENTARIO!$B$2:C996,2,0),"")</f>
        <v/>
      </c>
      <c r="D571" s="71"/>
      <c r="E571" s="71"/>
      <c r="F571" s="61" t="str">
        <f t="shared" si="3"/>
        <v/>
      </c>
      <c r="G571" s="71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69"/>
      <c r="C572" s="58" t="str">
        <f>IFERROR(VLOOKUP(B572 ,INVENTARIO!$B$2:C996,2,0),"")</f>
        <v/>
      </c>
      <c r="D572" s="71"/>
      <c r="E572" s="71"/>
      <c r="F572" s="61" t="str">
        <f t="shared" si="3"/>
        <v/>
      </c>
      <c r="G572" s="71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69"/>
      <c r="C573" s="58" t="str">
        <f>IFERROR(VLOOKUP(B573 ,INVENTARIO!$B$2:C996,2,0),"")</f>
        <v/>
      </c>
      <c r="D573" s="71"/>
      <c r="E573" s="71"/>
      <c r="F573" s="61" t="str">
        <f t="shared" si="3"/>
        <v/>
      </c>
      <c r="G573" s="71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69"/>
      <c r="C574" s="58" t="str">
        <f>IFERROR(VLOOKUP(B574 ,INVENTARIO!$B$2:C996,2,0),"")</f>
        <v/>
      </c>
      <c r="D574" s="71"/>
      <c r="E574" s="71"/>
      <c r="F574" s="61" t="str">
        <f t="shared" si="3"/>
        <v/>
      </c>
      <c r="G574" s="71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69"/>
      <c r="C575" s="58" t="str">
        <f>IFERROR(VLOOKUP(B575 ,INVENTARIO!$B$2:C996,2,0),"")</f>
        <v/>
      </c>
      <c r="D575" s="71"/>
      <c r="E575" s="71"/>
      <c r="F575" s="61" t="str">
        <f t="shared" si="3"/>
        <v/>
      </c>
      <c r="G575" s="71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69"/>
      <c r="C576" s="58" t="str">
        <f>IFERROR(VLOOKUP(B576 ,INVENTARIO!$B$2:C996,2,0),"")</f>
        <v/>
      </c>
      <c r="D576" s="71"/>
      <c r="E576" s="71"/>
      <c r="F576" s="61" t="str">
        <f t="shared" si="3"/>
        <v/>
      </c>
      <c r="G576" s="71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69"/>
      <c r="C577" s="58" t="str">
        <f>IFERROR(VLOOKUP(B577 ,INVENTARIO!$B$2:C996,2,0),"")</f>
        <v/>
      </c>
      <c r="D577" s="71"/>
      <c r="E577" s="71"/>
      <c r="F577" s="61" t="str">
        <f t="shared" si="3"/>
        <v/>
      </c>
      <c r="G577" s="71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69"/>
      <c r="C578" s="58" t="str">
        <f>IFERROR(VLOOKUP(B578 ,INVENTARIO!$B$2:C996,2,0),"")</f>
        <v/>
      </c>
      <c r="D578" s="71"/>
      <c r="E578" s="71"/>
      <c r="F578" s="61" t="str">
        <f t="shared" si="3"/>
        <v/>
      </c>
      <c r="G578" s="71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69"/>
      <c r="C579" s="58" t="str">
        <f>IFERROR(VLOOKUP(B579 ,INVENTARIO!$B$2:C996,2,0),"")</f>
        <v/>
      </c>
      <c r="D579" s="71"/>
      <c r="E579" s="71"/>
      <c r="F579" s="61" t="str">
        <f t="shared" si="3"/>
        <v/>
      </c>
      <c r="G579" s="71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69"/>
      <c r="C580" s="58" t="str">
        <f>IFERROR(VLOOKUP(B580 ,INVENTARIO!$B$2:C996,2,0),"")</f>
        <v/>
      </c>
      <c r="D580" s="71"/>
      <c r="E580" s="71"/>
      <c r="F580" s="61" t="str">
        <f t="shared" si="3"/>
        <v/>
      </c>
      <c r="G580" s="71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69"/>
      <c r="C581" s="58" t="str">
        <f>IFERROR(VLOOKUP(B581 ,INVENTARIO!$B$2:C996,2,0),"")</f>
        <v/>
      </c>
      <c r="D581" s="71"/>
      <c r="E581" s="71"/>
      <c r="F581" s="61" t="str">
        <f t="shared" si="3"/>
        <v/>
      </c>
      <c r="G581" s="71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69"/>
      <c r="C582" s="58" t="str">
        <f>IFERROR(VLOOKUP(B582 ,INVENTARIO!$B$2:C996,2,0),"")</f>
        <v/>
      </c>
      <c r="D582" s="71"/>
      <c r="E582" s="71"/>
      <c r="F582" s="61" t="str">
        <f t="shared" si="3"/>
        <v/>
      </c>
      <c r="G582" s="71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69"/>
      <c r="C583" s="58" t="str">
        <f>IFERROR(VLOOKUP(B583 ,INVENTARIO!$B$2:C996,2,0),"")</f>
        <v/>
      </c>
      <c r="D583" s="71"/>
      <c r="E583" s="71"/>
      <c r="F583" s="61" t="str">
        <f t="shared" si="3"/>
        <v/>
      </c>
      <c r="G583" s="71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69"/>
      <c r="C584" s="58" t="str">
        <f>IFERROR(VLOOKUP(B584 ,INVENTARIO!$B$2:C996,2,0),"")</f>
        <v/>
      </c>
      <c r="D584" s="71"/>
      <c r="E584" s="71"/>
      <c r="F584" s="61" t="str">
        <f t="shared" si="3"/>
        <v/>
      </c>
      <c r="G584" s="71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69"/>
      <c r="C585" s="58" t="str">
        <f>IFERROR(VLOOKUP(B585 ,INVENTARIO!$B$2:C996,2,0),"")</f>
        <v/>
      </c>
      <c r="D585" s="71"/>
      <c r="E585" s="71"/>
      <c r="F585" s="61" t="str">
        <f t="shared" si="3"/>
        <v/>
      </c>
      <c r="G585" s="71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69"/>
      <c r="C586" s="58" t="str">
        <f>IFERROR(VLOOKUP(B586 ,INVENTARIO!$B$2:C996,2,0),"")</f>
        <v/>
      </c>
      <c r="D586" s="71"/>
      <c r="E586" s="71"/>
      <c r="F586" s="61" t="str">
        <f t="shared" si="3"/>
        <v/>
      </c>
      <c r="G586" s="71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69"/>
      <c r="C587" s="58" t="str">
        <f>IFERROR(VLOOKUP(B587 ,INVENTARIO!$B$2:C996,2,0),"")</f>
        <v/>
      </c>
      <c r="D587" s="71"/>
      <c r="E587" s="71"/>
      <c r="F587" s="61" t="str">
        <f t="shared" si="3"/>
        <v/>
      </c>
      <c r="G587" s="71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69"/>
      <c r="C588" s="58" t="str">
        <f>IFERROR(VLOOKUP(B588 ,INVENTARIO!$B$2:C996,2,0),"")</f>
        <v/>
      </c>
      <c r="D588" s="71"/>
      <c r="E588" s="71"/>
      <c r="F588" s="61" t="str">
        <f t="shared" si="3"/>
        <v/>
      </c>
      <c r="G588" s="71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69"/>
      <c r="C589" s="58" t="str">
        <f>IFERROR(VLOOKUP(B589 ,INVENTARIO!$B$2:C996,2,0),"")</f>
        <v/>
      </c>
      <c r="D589" s="71"/>
      <c r="E589" s="71"/>
      <c r="F589" s="61" t="str">
        <f t="shared" si="3"/>
        <v/>
      </c>
      <c r="G589" s="71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69"/>
      <c r="C590" s="58" t="str">
        <f>IFERROR(VLOOKUP(B590 ,INVENTARIO!$B$2:C996,2,0),"")</f>
        <v/>
      </c>
      <c r="D590" s="71"/>
      <c r="E590" s="71"/>
      <c r="F590" s="61" t="str">
        <f t="shared" si="3"/>
        <v/>
      </c>
      <c r="G590" s="71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69"/>
      <c r="C591" s="58" t="str">
        <f>IFERROR(VLOOKUP(B591 ,INVENTARIO!$B$2:C996,2,0),"")</f>
        <v/>
      </c>
      <c r="D591" s="71"/>
      <c r="E591" s="71"/>
      <c r="F591" s="61" t="str">
        <f t="shared" si="3"/>
        <v/>
      </c>
      <c r="G591" s="71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69"/>
      <c r="C592" s="58" t="str">
        <f>IFERROR(VLOOKUP(B592 ,INVENTARIO!$B$2:C996,2,0),"")</f>
        <v/>
      </c>
      <c r="D592" s="71"/>
      <c r="E592" s="71"/>
      <c r="F592" s="61" t="str">
        <f t="shared" si="3"/>
        <v/>
      </c>
      <c r="G592" s="71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69"/>
      <c r="C593" s="58" t="str">
        <f>IFERROR(VLOOKUP(B593 ,INVENTARIO!$B$2:C996,2,0),"")</f>
        <v/>
      </c>
      <c r="D593" s="71"/>
      <c r="E593" s="71"/>
      <c r="F593" s="61" t="str">
        <f t="shared" si="3"/>
        <v/>
      </c>
      <c r="G593" s="71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69"/>
      <c r="C594" s="58" t="str">
        <f>IFERROR(VLOOKUP(B594 ,INVENTARIO!$B$2:C996,2,0),"")</f>
        <v/>
      </c>
      <c r="D594" s="71"/>
      <c r="E594" s="71"/>
      <c r="F594" s="61" t="str">
        <f t="shared" si="3"/>
        <v/>
      </c>
      <c r="G594" s="71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69"/>
      <c r="C595" s="58" t="str">
        <f>IFERROR(VLOOKUP(B595 ,INVENTARIO!$B$2:C996,2,0),"")</f>
        <v/>
      </c>
      <c r="D595" s="71"/>
      <c r="E595" s="71"/>
      <c r="F595" s="61" t="str">
        <f t="shared" si="3"/>
        <v/>
      </c>
      <c r="G595" s="71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69"/>
      <c r="C596" s="58" t="str">
        <f>IFERROR(VLOOKUP(B596 ,INVENTARIO!$B$2:C996,2,0),"")</f>
        <v/>
      </c>
      <c r="D596" s="71"/>
      <c r="E596" s="71"/>
      <c r="F596" s="61" t="str">
        <f t="shared" si="3"/>
        <v/>
      </c>
      <c r="G596" s="71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69"/>
      <c r="C597" s="58" t="str">
        <f>IFERROR(VLOOKUP(B597 ,INVENTARIO!$B$2:C996,2,0),"")</f>
        <v/>
      </c>
      <c r="D597" s="71"/>
      <c r="E597" s="71"/>
      <c r="F597" s="61" t="str">
        <f t="shared" si="3"/>
        <v/>
      </c>
      <c r="G597" s="71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69"/>
      <c r="C598" s="58" t="str">
        <f>IFERROR(VLOOKUP(B598 ,INVENTARIO!$B$2:C996,2,0),"")</f>
        <v/>
      </c>
      <c r="D598" s="71"/>
      <c r="E598" s="71"/>
      <c r="F598" s="61" t="str">
        <f t="shared" si="3"/>
        <v/>
      </c>
      <c r="G598" s="71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69"/>
      <c r="C599" s="58" t="str">
        <f>IFERROR(VLOOKUP(B599 ,INVENTARIO!$B$2:C996,2,0),"")</f>
        <v/>
      </c>
      <c r="D599" s="71"/>
      <c r="E599" s="71"/>
      <c r="F599" s="61" t="str">
        <f t="shared" si="3"/>
        <v/>
      </c>
      <c r="G599" s="71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69"/>
      <c r="C600" s="58" t="str">
        <f>IFERROR(VLOOKUP(B600 ,INVENTARIO!$B$2:C996,2,0),"")</f>
        <v/>
      </c>
      <c r="D600" s="71"/>
      <c r="E600" s="71"/>
      <c r="F600" s="61" t="str">
        <f t="shared" si="3"/>
        <v/>
      </c>
      <c r="G600" s="71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69"/>
      <c r="C601" s="58" t="str">
        <f>IFERROR(VLOOKUP(B601 ,INVENTARIO!$B$2:C996,2,0),"")</f>
        <v/>
      </c>
      <c r="D601" s="71"/>
      <c r="E601" s="71"/>
      <c r="F601" s="61" t="str">
        <f t="shared" si="3"/>
        <v/>
      </c>
      <c r="G601" s="71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69"/>
      <c r="C602" s="58" t="str">
        <f>IFERROR(VLOOKUP(B602 ,INVENTARIO!$B$2:C996,2,0),"")</f>
        <v/>
      </c>
      <c r="D602" s="71"/>
      <c r="E602" s="71"/>
      <c r="F602" s="61" t="str">
        <f t="shared" si="3"/>
        <v/>
      </c>
      <c r="G602" s="71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69"/>
      <c r="C603" s="58" t="str">
        <f>IFERROR(VLOOKUP(B603 ,INVENTARIO!$B$2:C996,2,0),"")</f>
        <v/>
      </c>
      <c r="D603" s="71"/>
      <c r="E603" s="71"/>
      <c r="F603" s="61" t="str">
        <f t="shared" si="3"/>
        <v/>
      </c>
      <c r="G603" s="71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69"/>
      <c r="C604" s="58" t="str">
        <f>IFERROR(VLOOKUP(B604 ,INVENTARIO!$B$2:C996,2,0),"")</f>
        <v/>
      </c>
      <c r="D604" s="71"/>
      <c r="E604" s="71"/>
      <c r="F604" s="61" t="str">
        <f t="shared" si="3"/>
        <v/>
      </c>
      <c r="G604" s="71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69"/>
      <c r="C605" s="58" t="str">
        <f>IFERROR(VLOOKUP(B605 ,INVENTARIO!$B$2:C996,2,0),"")</f>
        <v/>
      </c>
      <c r="D605" s="71"/>
      <c r="E605" s="71"/>
      <c r="F605" s="61" t="str">
        <f t="shared" si="3"/>
        <v/>
      </c>
      <c r="G605" s="71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69"/>
      <c r="C606" s="58" t="str">
        <f>IFERROR(VLOOKUP(B606 ,INVENTARIO!$B$2:C996,2,0),"")</f>
        <v/>
      </c>
      <c r="D606" s="71"/>
      <c r="E606" s="71"/>
      <c r="F606" s="61" t="str">
        <f t="shared" si="3"/>
        <v/>
      </c>
      <c r="G606" s="71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69"/>
      <c r="C607" s="58" t="str">
        <f>IFERROR(VLOOKUP(B607 ,INVENTARIO!$B$2:C996,2,0),"")</f>
        <v/>
      </c>
      <c r="D607" s="71"/>
      <c r="E607" s="71"/>
      <c r="F607" s="61" t="str">
        <f t="shared" si="3"/>
        <v/>
      </c>
      <c r="G607" s="71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69"/>
      <c r="C608" s="58" t="str">
        <f>IFERROR(VLOOKUP(B608 ,INVENTARIO!$B$2:C996,2,0),"")</f>
        <v/>
      </c>
      <c r="D608" s="71"/>
      <c r="E608" s="71"/>
      <c r="F608" s="61" t="str">
        <f t="shared" si="3"/>
        <v/>
      </c>
      <c r="G608" s="71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69"/>
      <c r="C609" s="58" t="str">
        <f>IFERROR(VLOOKUP(B609 ,INVENTARIO!$B$2:C996,2,0),"")</f>
        <v/>
      </c>
      <c r="D609" s="71"/>
      <c r="E609" s="71"/>
      <c r="F609" s="61" t="str">
        <f t="shared" si="3"/>
        <v/>
      </c>
      <c r="G609" s="71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69"/>
      <c r="C610" s="58" t="str">
        <f>IFERROR(VLOOKUP(B610 ,INVENTARIO!$B$2:C996,2,0),"")</f>
        <v/>
      </c>
      <c r="D610" s="71"/>
      <c r="E610" s="71"/>
      <c r="F610" s="61" t="str">
        <f t="shared" si="3"/>
        <v/>
      </c>
      <c r="G610" s="71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69"/>
      <c r="C611" s="58" t="str">
        <f>IFERROR(VLOOKUP(B611 ,INVENTARIO!$B$2:C996,2,0),"")</f>
        <v/>
      </c>
      <c r="D611" s="71"/>
      <c r="E611" s="71"/>
      <c r="F611" s="61" t="str">
        <f t="shared" si="3"/>
        <v/>
      </c>
      <c r="G611" s="71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69"/>
      <c r="C612" s="58" t="str">
        <f>IFERROR(VLOOKUP(B612 ,INVENTARIO!$B$2:C996,2,0),"")</f>
        <v/>
      </c>
      <c r="D612" s="71"/>
      <c r="E612" s="71"/>
      <c r="F612" s="61" t="str">
        <f t="shared" si="3"/>
        <v/>
      </c>
      <c r="G612" s="71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69"/>
      <c r="C613" s="58" t="str">
        <f>IFERROR(VLOOKUP(B613 ,INVENTARIO!$B$2:C996,2,0),"")</f>
        <v/>
      </c>
      <c r="D613" s="71"/>
      <c r="E613" s="71"/>
      <c r="F613" s="61" t="str">
        <f t="shared" si="3"/>
        <v/>
      </c>
      <c r="G613" s="71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69"/>
      <c r="C614" s="58" t="str">
        <f>IFERROR(VLOOKUP(B614 ,INVENTARIO!$B$2:C996,2,0),"")</f>
        <v/>
      </c>
      <c r="D614" s="71"/>
      <c r="E614" s="71"/>
      <c r="F614" s="61" t="str">
        <f t="shared" si="3"/>
        <v/>
      </c>
      <c r="G614" s="71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69"/>
      <c r="C615" s="58" t="str">
        <f>IFERROR(VLOOKUP(B615 ,INVENTARIO!$B$2:C996,2,0),"")</f>
        <v/>
      </c>
      <c r="D615" s="71"/>
      <c r="E615" s="71"/>
      <c r="F615" s="61" t="str">
        <f t="shared" si="3"/>
        <v/>
      </c>
      <c r="G615" s="71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69"/>
      <c r="C616" s="58" t="str">
        <f>IFERROR(VLOOKUP(B616 ,INVENTARIO!$B$2:C996,2,0),"")</f>
        <v/>
      </c>
      <c r="D616" s="71"/>
      <c r="E616" s="71"/>
      <c r="F616" s="61" t="str">
        <f t="shared" si="3"/>
        <v/>
      </c>
      <c r="G616" s="71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69"/>
      <c r="C617" s="58" t="str">
        <f>IFERROR(VLOOKUP(B617 ,INVENTARIO!$B$2:C996,2,0),"")</f>
        <v/>
      </c>
      <c r="D617" s="71"/>
      <c r="E617" s="71"/>
      <c r="F617" s="61" t="str">
        <f t="shared" si="3"/>
        <v/>
      </c>
      <c r="G617" s="71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69"/>
      <c r="C618" s="58" t="str">
        <f>IFERROR(VLOOKUP(B618 ,INVENTARIO!$B$2:C996,2,0),"")</f>
        <v/>
      </c>
      <c r="D618" s="71"/>
      <c r="E618" s="71"/>
      <c r="F618" s="61" t="str">
        <f t="shared" si="3"/>
        <v/>
      </c>
      <c r="G618" s="71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69"/>
      <c r="C619" s="58" t="str">
        <f>IFERROR(VLOOKUP(B619 ,INVENTARIO!$B$2:C996,2,0),"")</f>
        <v/>
      </c>
      <c r="D619" s="71"/>
      <c r="E619" s="71"/>
      <c r="F619" s="61" t="str">
        <f t="shared" si="3"/>
        <v/>
      </c>
      <c r="G619" s="71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69"/>
      <c r="C620" s="58" t="str">
        <f>IFERROR(VLOOKUP(B620 ,INVENTARIO!$B$2:C996,2,0),"")</f>
        <v/>
      </c>
      <c r="D620" s="71"/>
      <c r="E620" s="71"/>
      <c r="F620" s="61" t="str">
        <f t="shared" si="3"/>
        <v/>
      </c>
      <c r="G620" s="71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69"/>
      <c r="C621" s="58" t="str">
        <f>IFERROR(VLOOKUP(B621 ,INVENTARIO!$B$2:C996,2,0),"")</f>
        <v/>
      </c>
      <c r="D621" s="71"/>
      <c r="E621" s="71"/>
      <c r="F621" s="61" t="str">
        <f t="shared" si="3"/>
        <v/>
      </c>
      <c r="G621" s="71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69"/>
      <c r="C622" s="58" t="str">
        <f>IFERROR(VLOOKUP(B622 ,INVENTARIO!$B$2:C996,2,0),"")</f>
        <v/>
      </c>
      <c r="D622" s="71"/>
      <c r="E622" s="71"/>
      <c r="F622" s="61" t="str">
        <f t="shared" si="3"/>
        <v/>
      </c>
      <c r="G622" s="71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69"/>
      <c r="C623" s="58" t="str">
        <f>IFERROR(VLOOKUP(B623 ,INVENTARIO!$B$2:C996,2,0),"")</f>
        <v/>
      </c>
      <c r="D623" s="71"/>
      <c r="E623" s="71"/>
      <c r="F623" s="61" t="str">
        <f t="shared" si="3"/>
        <v/>
      </c>
      <c r="G623" s="71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69"/>
      <c r="C624" s="58" t="str">
        <f>IFERROR(VLOOKUP(B624 ,INVENTARIO!$B$2:C996,2,0),"")</f>
        <v/>
      </c>
      <c r="D624" s="71"/>
      <c r="E624" s="71"/>
      <c r="F624" s="61" t="str">
        <f t="shared" si="3"/>
        <v/>
      </c>
      <c r="G624" s="71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69"/>
      <c r="C625" s="58" t="str">
        <f>IFERROR(VLOOKUP(B625 ,INVENTARIO!$B$2:C996,2,0),"")</f>
        <v/>
      </c>
      <c r="D625" s="71"/>
      <c r="E625" s="71"/>
      <c r="F625" s="61" t="str">
        <f t="shared" si="3"/>
        <v/>
      </c>
      <c r="G625" s="71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69"/>
      <c r="C626" s="58" t="str">
        <f>IFERROR(VLOOKUP(B626 ,INVENTARIO!$B$2:C996,2,0),"")</f>
        <v/>
      </c>
      <c r="D626" s="71"/>
      <c r="E626" s="71"/>
      <c r="F626" s="61" t="str">
        <f t="shared" si="3"/>
        <v/>
      </c>
      <c r="G626" s="71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69"/>
      <c r="C627" s="58" t="str">
        <f>IFERROR(VLOOKUP(B627 ,INVENTARIO!$B$2:C996,2,0),"")</f>
        <v/>
      </c>
      <c r="D627" s="71"/>
      <c r="E627" s="71"/>
      <c r="F627" s="61" t="str">
        <f t="shared" si="3"/>
        <v/>
      </c>
      <c r="G627" s="71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69"/>
      <c r="C628" s="58" t="str">
        <f>IFERROR(VLOOKUP(B628 ,INVENTARIO!$B$2:C996,2,0),"")</f>
        <v/>
      </c>
      <c r="D628" s="71"/>
      <c r="E628" s="71"/>
      <c r="F628" s="61" t="str">
        <f t="shared" si="3"/>
        <v/>
      </c>
      <c r="G628" s="71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69"/>
      <c r="C629" s="58" t="str">
        <f>IFERROR(VLOOKUP(B629 ,INVENTARIO!$B$2:C996,2,0),"")</f>
        <v/>
      </c>
      <c r="D629" s="71"/>
      <c r="E629" s="71"/>
      <c r="F629" s="61" t="str">
        <f t="shared" si="3"/>
        <v/>
      </c>
      <c r="G629" s="71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69"/>
      <c r="C630" s="58" t="str">
        <f>IFERROR(VLOOKUP(B630 ,INVENTARIO!$B$2:C996,2,0),"")</f>
        <v/>
      </c>
      <c r="D630" s="71"/>
      <c r="E630" s="71"/>
      <c r="F630" s="61" t="str">
        <f t="shared" si="3"/>
        <v/>
      </c>
      <c r="G630" s="71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69"/>
      <c r="C631" s="58" t="str">
        <f>IFERROR(VLOOKUP(B631 ,INVENTARIO!$B$2:C996,2,0),"")</f>
        <v/>
      </c>
      <c r="D631" s="71"/>
      <c r="E631" s="71"/>
      <c r="F631" s="61" t="str">
        <f t="shared" si="3"/>
        <v/>
      </c>
      <c r="G631" s="71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69"/>
      <c r="C632" s="58" t="str">
        <f>IFERROR(VLOOKUP(B632 ,INVENTARIO!$B$2:C996,2,0),"")</f>
        <v/>
      </c>
      <c r="D632" s="71"/>
      <c r="E632" s="71"/>
      <c r="F632" s="61" t="str">
        <f t="shared" si="3"/>
        <v/>
      </c>
      <c r="G632" s="71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69"/>
      <c r="C633" s="58" t="str">
        <f>IFERROR(VLOOKUP(B633 ,INVENTARIO!$B$2:C996,2,0),"")</f>
        <v/>
      </c>
      <c r="D633" s="71"/>
      <c r="E633" s="71"/>
      <c r="F633" s="61" t="str">
        <f t="shared" si="3"/>
        <v/>
      </c>
      <c r="G633" s="71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69"/>
      <c r="C634" s="58" t="str">
        <f>IFERROR(VLOOKUP(B634 ,INVENTARIO!$B$2:C996,2,0),"")</f>
        <v/>
      </c>
      <c r="D634" s="71"/>
      <c r="E634" s="71"/>
      <c r="F634" s="61" t="str">
        <f t="shared" si="3"/>
        <v/>
      </c>
      <c r="G634" s="71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69"/>
      <c r="C635" s="58" t="str">
        <f>IFERROR(VLOOKUP(B635 ,INVENTARIO!$B$2:C996,2,0),"")</f>
        <v/>
      </c>
      <c r="D635" s="71"/>
      <c r="E635" s="71"/>
      <c r="F635" s="61" t="str">
        <f t="shared" si="3"/>
        <v/>
      </c>
      <c r="G635" s="71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69"/>
      <c r="C636" s="58" t="str">
        <f>IFERROR(VLOOKUP(B636 ,INVENTARIO!$B$2:C996,2,0),"")</f>
        <v/>
      </c>
      <c r="D636" s="71"/>
      <c r="E636" s="71"/>
      <c r="F636" s="61" t="str">
        <f t="shared" si="3"/>
        <v/>
      </c>
      <c r="G636" s="71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69"/>
      <c r="C637" s="58" t="str">
        <f>IFERROR(VLOOKUP(B637 ,INVENTARIO!$B$2:C996,2,0),"")</f>
        <v/>
      </c>
      <c r="D637" s="71"/>
      <c r="E637" s="71"/>
      <c r="F637" s="61" t="str">
        <f t="shared" si="3"/>
        <v/>
      </c>
      <c r="G637" s="71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69"/>
      <c r="C638" s="58" t="str">
        <f>IFERROR(VLOOKUP(B638 ,INVENTARIO!$B$2:C996,2,0),"")</f>
        <v/>
      </c>
      <c r="D638" s="71"/>
      <c r="E638" s="71"/>
      <c r="F638" s="61" t="str">
        <f t="shared" si="3"/>
        <v/>
      </c>
      <c r="G638" s="71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69"/>
      <c r="C639" s="58" t="str">
        <f>IFERROR(VLOOKUP(B639 ,INVENTARIO!$B$2:C996,2,0),"")</f>
        <v/>
      </c>
      <c r="D639" s="71"/>
      <c r="E639" s="71"/>
      <c r="F639" s="61" t="str">
        <f t="shared" si="3"/>
        <v/>
      </c>
      <c r="G639" s="71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69"/>
      <c r="C640" s="58" t="str">
        <f>IFERROR(VLOOKUP(B640 ,INVENTARIO!$B$2:C996,2,0),"")</f>
        <v/>
      </c>
      <c r="D640" s="71"/>
      <c r="E640" s="71"/>
      <c r="F640" s="61" t="str">
        <f t="shared" si="3"/>
        <v/>
      </c>
      <c r="G640" s="71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69"/>
      <c r="C641" s="58" t="str">
        <f>IFERROR(VLOOKUP(B641 ,INVENTARIO!$B$2:C996,2,0),"")</f>
        <v/>
      </c>
      <c r="D641" s="71"/>
      <c r="E641" s="71"/>
      <c r="F641" s="61" t="str">
        <f t="shared" si="3"/>
        <v/>
      </c>
      <c r="G641" s="71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69"/>
      <c r="C642" s="58" t="str">
        <f>IFERROR(VLOOKUP(B642 ,INVENTARIO!$B$2:C996,2,0),"")</f>
        <v/>
      </c>
      <c r="D642" s="71"/>
      <c r="E642" s="71"/>
      <c r="F642" s="61" t="str">
        <f t="shared" si="3"/>
        <v/>
      </c>
      <c r="G642" s="71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69"/>
      <c r="C643" s="58" t="str">
        <f>IFERROR(VLOOKUP(B643 ,INVENTARIO!$B$2:C996,2,0),"")</f>
        <v/>
      </c>
      <c r="D643" s="71"/>
      <c r="E643" s="71"/>
      <c r="F643" s="61" t="str">
        <f t="shared" si="3"/>
        <v/>
      </c>
      <c r="G643" s="71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69"/>
      <c r="C644" s="58" t="str">
        <f>IFERROR(VLOOKUP(B644 ,INVENTARIO!$B$2:C996,2,0),"")</f>
        <v/>
      </c>
      <c r="D644" s="71"/>
      <c r="E644" s="71"/>
      <c r="F644" s="61" t="str">
        <f t="shared" si="3"/>
        <v/>
      </c>
      <c r="G644" s="71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69"/>
      <c r="C645" s="58" t="str">
        <f>IFERROR(VLOOKUP(B645 ,INVENTARIO!$B$2:C996,2,0),"")</f>
        <v/>
      </c>
      <c r="D645" s="71"/>
      <c r="E645" s="71"/>
      <c r="F645" s="61" t="str">
        <f t="shared" si="3"/>
        <v/>
      </c>
      <c r="G645" s="71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69"/>
      <c r="C646" s="58" t="str">
        <f>IFERROR(VLOOKUP(B646 ,INVENTARIO!$B$2:C996,2,0),"")</f>
        <v/>
      </c>
      <c r="D646" s="71"/>
      <c r="E646" s="71"/>
      <c r="F646" s="61" t="str">
        <f t="shared" si="3"/>
        <v/>
      </c>
      <c r="G646" s="71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69"/>
      <c r="C647" s="58" t="str">
        <f>IFERROR(VLOOKUP(B647 ,INVENTARIO!$B$2:C996,2,0),"")</f>
        <v/>
      </c>
      <c r="D647" s="71"/>
      <c r="E647" s="71"/>
      <c r="F647" s="61" t="str">
        <f t="shared" si="3"/>
        <v/>
      </c>
      <c r="G647" s="71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69"/>
      <c r="C648" s="58" t="str">
        <f>IFERROR(VLOOKUP(B648 ,INVENTARIO!$B$2:C996,2,0),"")</f>
        <v/>
      </c>
      <c r="D648" s="71"/>
      <c r="E648" s="71"/>
      <c r="F648" s="61" t="str">
        <f t="shared" si="3"/>
        <v/>
      </c>
      <c r="G648" s="71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69"/>
      <c r="C649" s="58" t="str">
        <f>IFERROR(VLOOKUP(B649 ,INVENTARIO!$B$2:C996,2,0),"")</f>
        <v/>
      </c>
      <c r="D649" s="71"/>
      <c r="E649" s="71"/>
      <c r="F649" s="61" t="str">
        <f t="shared" si="3"/>
        <v/>
      </c>
      <c r="G649" s="71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69"/>
      <c r="C650" s="58" t="str">
        <f>IFERROR(VLOOKUP(B650 ,INVENTARIO!$B$2:C996,2,0),"")</f>
        <v/>
      </c>
      <c r="D650" s="71"/>
      <c r="E650" s="71"/>
      <c r="F650" s="61" t="str">
        <f t="shared" si="3"/>
        <v/>
      </c>
      <c r="G650" s="71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69"/>
      <c r="C651" s="58" t="str">
        <f>IFERROR(VLOOKUP(B651 ,INVENTARIO!$B$2:C996,2,0),"")</f>
        <v/>
      </c>
      <c r="D651" s="71"/>
      <c r="E651" s="71"/>
      <c r="F651" s="61" t="str">
        <f t="shared" si="3"/>
        <v/>
      </c>
      <c r="G651" s="71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69"/>
      <c r="C652" s="58" t="str">
        <f>IFERROR(VLOOKUP(B652 ,INVENTARIO!$B$2:C996,2,0),"")</f>
        <v/>
      </c>
      <c r="D652" s="71"/>
      <c r="E652" s="71"/>
      <c r="F652" s="61" t="str">
        <f t="shared" si="3"/>
        <v/>
      </c>
      <c r="G652" s="71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69"/>
      <c r="C653" s="58" t="str">
        <f>IFERROR(VLOOKUP(B653 ,INVENTARIO!$B$2:C996,2,0),"")</f>
        <v/>
      </c>
      <c r="D653" s="71"/>
      <c r="E653" s="71"/>
      <c r="F653" s="61" t="str">
        <f t="shared" si="3"/>
        <v/>
      </c>
      <c r="G653" s="71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69"/>
      <c r="C654" s="58" t="str">
        <f>IFERROR(VLOOKUP(B654 ,INVENTARIO!$B$2:C996,2,0),"")</f>
        <v/>
      </c>
      <c r="D654" s="71"/>
      <c r="E654" s="71"/>
      <c r="F654" s="61" t="str">
        <f t="shared" si="3"/>
        <v/>
      </c>
      <c r="G654" s="71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69"/>
      <c r="C655" s="58" t="str">
        <f>IFERROR(VLOOKUP(B655 ,INVENTARIO!$B$2:C996,2,0),"")</f>
        <v/>
      </c>
      <c r="D655" s="71"/>
      <c r="E655" s="71"/>
      <c r="F655" s="61" t="str">
        <f t="shared" si="3"/>
        <v/>
      </c>
      <c r="G655" s="71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69"/>
      <c r="C656" s="58" t="str">
        <f>IFERROR(VLOOKUP(B656 ,INVENTARIO!$B$2:C996,2,0),"")</f>
        <v/>
      </c>
      <c r="D656" s="71"/>
      <c r="E656" s="71"/>
      <c r="F656" s="61" t="str">
        <f t="shared" si="3"/>
        <v/>
      </c>
      <c r="G656" s="71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69"/>
      <c r="C657" s="58" t="str">
        <f>IFERROR(VLOOKUP(B657 ,INVENTARIO!$B$2:C996,2,0),"")</f>
        <v/>
      </c>
      <c r="D657" s="71"/>
      <c r="E657" s="71"/>
      <c r="F657" s="61" t="str">
        <f t="shared" si="3"/>
        <v/>
      </c>
      <c r="G657" s="71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69"/>
      <c r="C658" s="58" t="str">
        <f>IFERROR(VLOOKUP(B658 ,INVENTARIO!$B$2:C996,2,0),"")</f>
        <v/>
      </c>
      <c r="D658" s="71"/>
      <c r="E658" s="71"/>
      <c r="F658" s="61" t="str">
        <f t="shared" si="3"/>
        <v/>
      </c>
      <c r="G658" s="71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69"/>
      <c r="C659" s="58" t="str">
        <f>IFERROR(VLOOKUP(B659 ,INVENTARIO!$B$2:C996,2,0),"")</f>
        <v/>
      </c>
      <c r="D659" s="71"/>
      <c r="E659" s="71"/>
      <c r="F659" s="61" t="str">
        <f t="shared" si="3"/>
        <v/>
      </c>
      <c r="G659" s="71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69"/>
      <c r="C660" s="58" t="str">
        <f>IFERROR(VLOOKUP(B660 ,INVENTARIO!$B$2:C996,2,0),"")</f>
        <v/>
      </c>
      <c r="D660" s="71"/>
      <c r="E660" s="71"/>
      <c r="F660" s="61" t="str">
        <f t="shared" si="3"/>
        <v/>
      </c>
      <c r="G660" s="71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69"/>
      <c r="C661" s="58" t="str">
        <f>IFERROR(VLOOKUP(B661 ,INVENTARIO!$B$2:C996,2,0),"")</f>
        <v/>
      </c>
      <c r="D661" s="71"/>
      <c r="E661" s="71"/>
      <c r="F661" s="61" t="str">
        <f t="shared" si="3"/>
        <v/>
      </c>
      <c r="G661" s="71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69"/>
      <c r="C662" s="58" t="str">
        <f>IFERROR(VLOOKUP(B662 ,INVENTARIO!$B$2:C996,2,0),"")</f>
        <v/>
      </c>
      <c r="D662" s="71"/>
      <c r="E662" s="71"/>
      <c r="F662" s="61" t="str">
        <f t="shared" si="3"/>
        <v/>
      </c>
      <c r="G662" s="71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69"/>
      <c r="C663" s="58" t="str">
        <f>IFERROR(VLOOKUP(B663 ,INVENTARIO!$B$2:C996,2,0),"")</f>
        <v/>
      </c>
      <c r="D663" s="71"/>
      <c r="E663" s="71"/>
      <c r="F663" s="61" t="str">
        <f t="shared" si="3"/>
        <v/>
      </c>
      <c r="G663" s="71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69"/>
      <c r="C664" s="58" t="str">
        <f>IFERROR(VLOOKUP(B664 ,INVENTARIO!$B$2:C996,2,0),"")</f>
        <v/>
      </c>
      <c r="D664" s="71"/>
      <c r="E664" s="71"/>
      <c r="F664" s="61" t="str">
        <f t="shared" si="3"/>
        <v/>
      </c>
      <c r="G664" s="71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69"/>
      <c r="C665" s="58" t="str">
        <f>IFERROR(VLOOKUP(B665 ,INVENTARIO!$B$2:C996,2,0),"")</f>
        <v/>
      </c>
      <c r="D665" s="71"/>
      <c r="E665" s="71"/>
      <c r="F665" s="61" t="str">
        <f t="shared" si="3"/>
        <v/>
      </c>
      <c r="G665" s="71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69"/>
      <c r="C666" s="58" t="str">
        <f>IFERROR(VLOOKUP(B666 ,INVENTARIO!$B$2:C996,2,0),"")</f>
        <v/>
      </c>
      <c r="D666" s="71"/>
      <c r="E666" s="71"/>
      <c r="F666" s="61" t="str">
        <f t="shared" si="3"/>
        <v/>
      </c>
      <c r="G666" s="71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69"/>
      <c r="C667" s="58" t="str">
        <f>IFERROR(VLOOKUP(B667 ,INVENTARIO!$B$2:C996,2,0),"")</f>
        <v/>
      </c>
      <c r="D667" s="71"/>
      <c r="E667" s="71"/>
      <c r="F667" s="61" t="str">
        <f t="shared" si="3"/>
        <v/>
      </c>
      <c r="G667" s="71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69"/>
      <c r="C668" s="58" t="str">
        <f>IFERROR(VLOOKUP(B668 ,INVENTARIO!$B$2:C996,2,0),"")</f>
        <v/>
      </c>
      <c r="D668" s="71"/>
      <c r="E668" s="71"/>
      <c r="F668" s="61" t="str">
        <f t="shared" si="3"/>
        <v/>
      </c>
      <c r="G668" s="71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69"/>
      <c r="C669" s="58" t="str">
        <f>IFERROR(VLOOKUP(B669 ,INVENTARIO!$B$2:C996,2,0),"")</f>
        <v/>
      </c>
      <c r="D669" s="71"/>
      <c r="E669" s="71"/>
      <c r="F669" s="61" t="str">
        <f t="shared" si="3"/>
        <v/>
      </c>
      <c r="G669" s="71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69"/>
      <c r="C670" s="58" t="str">
        <f>IFERROR(VLOOKUP(B670 ,INVENTARIO!$B$2:C996,2,0),"")</f>
        <v/>
      </c>
      <c r="D670" s="71"/>
      <c r="E670" s="71"/>
      <c r="F670" s="61" t="str">
        <f t="shared" si="3"/>
        <v/>
      </c>
      <c r="G670" s="71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69"/>
      <c r="C671" s="58" t="str">
        <f>IFERROR(VLOOKUP(B671 ,INVENTARIO!$B$2:C996,2,0),"")</f>
        <v/>
      </c>
      <c r="D671" s="71"/>
      <c r="E671" s="71"/>
      <c r="F671" s="61" t="str">
        <f t="shared" si="3"/>
        <v/>
      </c>
      <c r="G671" s="71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69"/>
      <c r="C672" s="58" t="str">
        <f>IFERROR(VLOOKUP(B672 ,INVENTARIO!$B$2:C996,2,0),"")</f>
        <v/>
      </c>
      <c r="D672" s="71"/>
      <c r="E672" s="71"/>
      <c r="F672" s="61" t="str">
        <f t="shared" si="3"/>
        <v/>
      </c>
      <c r="G672" s="71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69"/>
      <c r="C673" s="58" t="str">
        <f>IFERROR(VLOOKUP(B673 ,INVENTARIO!$B$2:C996,2,0),"")</f>
        <v/>
      </c>
      <c r="D673" s="71"/>
      <c r="E673" s="71"/>
      <c r="F673" s="61" t="str">
        <f t="shared" si="3"/>
        <v/>
      </c>
      <c r="G673" s="71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69"/>
      <c r="C674" s="58" t="str">
        <f>IFERROR(VLOOKUP(B674 ,INVENTARIO!$B$2:C996,2,0),"")</f>
        <v/>
      </c>
      <c r="D674" s="71"/>
      <c r="E674" s="71"/>
      <c r="F674" s="61" t="str">
        <f t="shared" si="3"/>
        <v/>
      </c>
      <c r="G674" s="71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69"/>
      <c r="C675" s="58" t="str">
        <f>IFERROR(VLOOKUP(B675 ,INVENTARIO!$B$2:C996,2,0),"")</f>
        <v/>
      </c>
      <c r="D675" s="71"/>
      <c r="E675" s="71"/>
      <c r="F675" s="61" t="str">
        <f t="shared" si="3"/>
        <v/>
      </c>
      <c r="G675" s="71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69"/>
      <c r="C676" s="58" t="str">
        <f>IFERROR(VLOOKUP(B676 ,INVENTARIO!$B$2:C996,2,0),"")</f>
        <v/>
      </c>
      <c r="D676" s="71"/>
      <c r="E676" s="71"/>
      <c r="F676" s="61" t="str">
        <f t="shared" si="3"/>
        <v/>
      </c>
      <c r="G676" s="71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69"/>
      <c r="C677" s="58" t="str">
        <f>IFERROR(VLOOKUP(B677 ,INVENTARIO!$B$2:C996,2,0),"")</f>
        <v/>
      </c>
      <c r="D677" s="71"/>
      <c r="E677" s="71"/>
      <c r="F677" s="61" t="str">
        <f t="shared" si="3"/>
        <v/>
      </c>
      <c r="G677" s="71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69"/>
      <c r="C678" s="58" t="str">
        <f>IFERROR(VLOOKUP(B678 ,INVENTARIO!$B$2:C996,2,0),"")</f>
        <v/>
      </c>
      <c r="D678" s="71"/>
      <c r="E678" s="71"/>
      <c r="F678" s="61" t="str">
        <f t="shared" si="3"/>
        <v/>
      </c>
      <c r="G678" s="71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69"/>
      <c r="C679" s="58" t="str">
        <f>IFERROR(VLOOKUP(B679 ,INVENTARIO!$B$2:C996,2,0),"")</f>
        <v/>
      </c>
      <c r="D679" s="71"/>
      <c r="E679" s="71"/>
      <c r="F679" s="61" t="str">
        <f t="shared" si="3"/>
        <v/>
      </c>
      <c r="G679" s="71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69"/>
      <c r="C680" s="58" t="str">
        <f>IFERROR(VLOOKUP(B680 ,INVENTARIO!$B$2:C996,2,0),"")</f>
        <v/>
      </c>
      <c r="D680" s="71"/>
      <c r="E680" s="71"/>
      <c r="F680" s="61" t="str">
        <f t="shared" si="3"/>
        <v/>
      </c>
      <c r="G680" s="71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69"/>
      <c r="C681" s="58" t="str">
        <f>IFERROR(VLOOKUP(B681 ,INVENTARIO!$B$2:C996,2,0),"")</f>
        <v/>
      </c>
      <c r="D681" s="71"/>
      <c r="E681" s="71"/>
      <c r="F681" s="61" t="str">
        <f t="shared" si="3"/>
        <v/>
      </c>
      <c r="G681" s="71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69"/>
      <c r="C682" s="58" t="str">
        <f>IFERROR(VLOOKUP(B682 ,INVENTARIO!$B$2:C996,2,0),"")</f>
        <v/>
      </c>
      <c r="D682" s="71"/>
      <c r="E682" s="71"/>
      <c r="F682" s="61" t="str">
        <f t="shared" si="3"/>
        <v/>
      </c>
      <c r="G682" s="71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69"/>
      <c r="C683" s="58" t="str">
        <f>IFERROR(VLOOKUP(B683 ,INVENTARIO!$B$2:C996,2,0),"")</f>
        <v/>
      </c>
      <c r="D683" s="71"/>
      <c r="E683" s="71"/>
      <c r="F683" s="61" t="str">
        <f t="shared" si="3"/>
        <v/>
      </c>
      <c r="G683" s="71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69"/>
      <c r="C684" s="58" t="str">
        <f>IFERROR(VLOOKUP(B684 ,INVENTARIO!$B$2:C996,2,0),"")</f>
        <v/>
      </c>
      <c r="D684" s="71"/>
      <c r="E684" s="71"/>
      <c r="F684" s="61" t="str">
        <f t="shared" si="3"/>
        <v/>
      </c>
      <c r="G684" s="71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69"/>
      <c r="C685" s="58" t="str">
        <f>IFERROR(VLOOKUP(B685 ,INVENTARIO!$B$2:C996,2,0),"")</f>
        <v/>
      </c>
      <c r="D685" s="71"/>
      <c r="E685" s="71"/>
      <c r="F685" s="61" t="str">
        <f t="shared" si="3"/>
        <v/>
      </c>
      <c r="G685" s="71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69"/>
      <c r="C686" s="58" t="str">
        <f>IFERROR(VLOOKUP(B686 ,INVENTARIO!$B$2:C996,2,0),"")</f>
        <v/>
      </c>
      <c r="D686" s="71"/>
      <c r="E686" s="71"/>
      <c r="F686" s="61" t="str">
        <f t="shared" si="3"/>
        <v/>
      </c>
      <c r="G686" s="71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69"/>
      <c r="C687" s="58" t="str">
        <f>IFERROR(VLOOKUP(B687 ,INVENTARIO!$B$2:C996,2,0),"")</f>
        <v/>
      </c>
      <c r="D687" s="71"/>
      <c r="E687" s="71"/>
      <c r="F687" s="61" t="str">
        <f t="shared" si="3"/>
        <v/>
      </c>
      <c r="G687" s="71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69"/>
      <c r="C688" s="58" t="str">
        <f>IFERROR(VLOOKUP(B688 ,INVENTARIO!$B$2:C996,2,0),"")</f>
        <v/>
      </c>
      <c r="D688" s="71"/>
      <c r="E688" s="71"/>
      <c r="F688" s="61" t="str">
        <f t="shared" si="3"/>
        <v/>
      </c>
      <c r="G688" s="71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69"/>
      <c r="C689" s="58" t="str">
        <f>IFERROR(VLOOKUP(B689 ,INVENTARIO!$B$2:C996,2,0),"")</f>
        <v/>
      </c>
      <c r="D689" s="71"/>
      <c r="E689" s="71"/>
      <c r="F689" s="61" t="str">
        <f t="shared" si="3"/>
        <v/>
      </c>
      <c r="G689" s="71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69"/>
      <c r="C690" s="58" t="str">
        <f>IFERROR(VLOOKUP(B690 ,INVENTARIO!$B$2:C996,2,0),"")</f>
        <v/>
      </c>
      <c r="D690" s="71"/>
      <c r="E690" s="71"/>
      <c r="F690" s="61" t="str">
        <f t="shared" si="3"/>
        <v/>
      </c>
      <c r="G690" s="71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69"/>
      <c r="C691" s="58" t="str">
        <f>IFERROR(VLOOKUP(B691 ,INVENTARIO!$B$2:C996,2,0),"")</f>
        <v/>
      </c>
      <c r="D691" s="71"/>
      <c r="E691" s="71"/>
      <c r="F691" s="61" t="str">
        <f t="shared" si="3"/>
        <v/>
      </c>
      <c r="G691" s="71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69"/>
      <c r="C692" s="58" t="str">
        <f>IFERROR(VLOOKUP(B692 ,INVENTARIO!$B$2:C996,2,0),"")</f>
        <v/>
      </c>
      <c r="D692" s="71"/>
      <c r="E692" s="71"/>
      <c r="F692" s="61" t="str">
        <f t="shared" si="3"/>
        <v/>
      </c>
      <c r="G692" s="71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69"/>
      <c r="C693" s="58" t="str">
        <f>IFERROR(VLOOKUP(B693 ,INVENTARIO!$B$2:C996,2,0),"")</f>
        <v/>
      </c>
      <c r="D693" s="71"/>
      <c r="E693" s="71"/>
      <c r="F693" s="61" t="str">
        <f t="shared" si="3"/>
        <v/>
      </c>
      <c r="G693" s="71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69"/>
      <c r="C694" s="58" t="str">
        <f>IFERROR(VLOOKUP(B694 ,INVENTARIO!$B$2:C996,2,0),"")</f>
        <v/>
      </c>
      <c r="D694" s="71"/>
      <c r="E694" s="71"/>
      <c r="F694" s="61" t="str">
        <f t="shared" si="3"/>
        <v/>
      </c>
      <c r="G694" s="71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69"/>
      <c r="C695" s="58" t="str">
        <f>IFERROR(VLOOKUP(B695 ,INVENTARIO!$B$2:C996,2,0),"")</f>
        <v/>
      </c>
      <c r="D695" s="71"/>
      <c r="E695" s="71"/>
      <c r="F695" s="61" t="str">
        <f t="shared" si="3"/>
        <v/>
      </c>
      <c r="G695" s="71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69"/>
      <c r="C696" s="58" t="str">
        <f>IFERROR(VLOOKUP(B696 ,INVENTARIO!$B$2:C996,2,0),"")</f>
        <v/>
      </c>
      <c r="D696" s="71"/>
      <c r="E696" s="71"/>
      <c r="F696" s="61" t="str">
        <f t="shared" si="3"/>
        <v/>
      </c>
      <c r="G696" s="71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69"/>
      <c r="C697" s="58" t="str">
        <f>IFERROR(VLOOKUP(B697 ,INVENTARIO!$B$2:C996,2,0),"")</f>
        <v/>
      </c>
      <c r="D697" s="71"/>
      <c r="E697" s="71"/>
      <c r="F697" s="61" t="str">
        <f t="shared" si="3"/>
        <v/>
      </c>
      <c r="G697" s="71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69"/>
      <c r="C698" s="58" t="str">
        <f>IFERROR(VLOOKUP(B698 ,INVENTARIO!$B$2:C996,2,0),"")</f>
        <v/>
      </c>
      <c r="D698" s="71"/>
      <c r="E698" s="71"/>
      <c r="F698" s="61" t="str">
        <f t="shared" si="3"/>
        <v/>
      </c>
      <c r="G698" s="71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69"/>
      <c r="C699" s="58" t="str">
        <f>IFERROR(VLOOKUP(B699 ,INVENTARIO!$B$2:C996,2,0),"")</f>
        <v/>
      </c>
      <c r="D699" s="71"/>
      <c r="E699" s="71"/>
      <c r="F699" s="61" t="str">
        <f t="shared" si="3"/>
        <v/>
      </c>
      <c r="G699" s="71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69"/>
      <c r="C700" s="58" t="str">
        <f>IFERROR(VLOOKUP(B700 ,INVENTARIO!$B$2:C996,2,0),"")</f>
        <v/>
      </c>
      <c r="D700" s="71"/>
      <c r="E700" s="71"/>
      <c r="F700" s="61" t="str">
        <f t="shared" si="3"/>
        <v/>
      </c>
      <c r="G700" s="71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69"/>
      <c r="C701" s="58" t="str">
        <f>IFERROR(VLOOKUP(B701 ,INVENTARIO!$B$2:C996,2,0),"")</f>
        <v/>
      </c>
      <c r="D701" s="71"/>
      <c r="E701" s="71"/>
      <c r="F701" s="61" t="str">
        <f t="shared" si="3"/>
        <v/>
      </c>
      <c r="G701" s="71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69"/>
      <c r="C702" s="58" t="str">
        <f>IFERROR(VLOOKUP(B702 ,INVENTARIO!$B$2:C996,2,0),"")</f>
        <v/>
      </c>
      <c r="D702" s="71"/>
      <c r="E702" s="71"/>
      <c r="F702" s="61" t="str">
        <f t="shared" si="3"/>
        <v/>
      </c>
      <c r="G702" s="71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69"/>
      <c r="C703" s="58" t="str">
        <f>IFERROR(VLOOKUP(B703 ,INVENTARIO!$B$2:C996,2,0),"")</f>
        <v/>
      </c>
      <c r="D703" s="71"/>
      <c r="E703" s="71"/>
      <c r="F703" s="61" t="str">
        <f t="shared" si="3"/>
        <v/>
      </c>
      <c r="G703" s="71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69"/>
      <c r="C704" s="58" t="str">
        <f>IFERROR(VLOOKUP(B704 ,INVENTARIO!$B$2:C996,2,0),"")</f>
        <v/>
      </c>
      <c r="D704" s="71"/>
      <c r="E704" s="71"/>
      <c r="F704" s="61" t="str">
        <f t="shared" si="3"/>
        <v/>
      </c>
      <c r="G704" s="71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69"/>
      <c r="C705" s="58" t="str">
        <f>IFERROR(VLOOKUP(B705 ,INVENTARIO!$B$2:C996,2,0),"")</f>
        <v/>
      </c>
      <c r="D705" s="71"/>
      <c r="E705" s="71"/>
      <c r="F705" s="61" t="str">
        <f t="shared" si="3"/>
        <v/>
      </c>
      <c r="G705" s="71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69"/>
      <c r="C706" s="58" t="str">
        <f>IFERROR(VLOOKUP(B706 ,INVENTARIO!$B$2:C996,2,0),"")</f>
        <v/>
      </c>
      <c r="D706" s="71"/>
      <c r="E706" s="71"/>
      <c r="F706" s="61" t="str">
        <f t="shared" si="3"/>
        <v/>
      </c>
      <c r="G706" s="71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69"/>
      <c r="C707" s="58" t="str">
        <f>IFERROR(VLOOKUP(B707 ,INVENTARIO!$B$2:C996,2,0),"")</f>
        <v/>
      </c>
      <c r="D707" s="71"/>
      <c r="E707" s="71"/>
      <c r="F707" s="61" t="str">
        <f t="shared" si="3"/>
        <v/>
      </c>
      <c r="G707" s="71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69"/>
      <c r="C708" s="58" t="str">
        <f>IFERROR(VLOOKUP(B708 ,INVENTARIO!$B$2:C996,2,0),"")</f>
        <v/>
      </c>
      <c r="D708" s="71"/>
      <c r="E708" s="71"/>
      <c r="F708" s="61" t="str">
        <f t="shared" si="3"/>
        <v/>
      </c>
      <c r="G708" s="71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69"/>
      <c r="C709" s="58" t="str">
        <f>IFERROR(VLOOKUP(B709 ,INVENTARIO!$B$2:C996,2,0),"")</f>
        <v/>
      </c>
      <c r="D709" s="71"/>
      <c r="E709" s="71"/>
      <c r="F709" s="61" t="str">
        <f t="shared" si="3"/>
        <v/>
      </c>
      <c r="G709" s="71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69"/>
      <c r="C710" s="58" t="str">
        <f>IFERROR(VLOOKUP(B710 ,INVENTARIO!$B$2:C996,2,0),"")</f>
        <v/>
      </c>
      <c r="D710" s="71"/>
      <c r="E710" s="71"/>
      <c r="F710" s="61" t="str">
        <f t="shared" si="3"/>
        <v/>
      </c>
      <c r="G710" s="71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69"/>
      <c r="C711" s="58" t="str">
        <f>IFERROR(VLOOKUP(B711 ,INVENTARIO!$B$2:C996,2,0),"")</f>
        <v/>
      </c>
      <c r="D711" s="71"/>
      <c r="E711" s="71"/>
      <c r="F711" s="61" t="str">
        <f t="shared" si="3"/>
        <v/>
      </c>
      <c r="G711" s="71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69"/>
      <c r="C712" s="58" t="str">
        <f>IFERROR(VLOOKUP(B712 ,INVENTARIO!$B$2:C996,2,0),"")</f>
        <v/>
      </c>
      <c r="D712" s="71"/>
      <c r="E712" s="71"/>
      <c r="F712" s="61" t="str">
        <f t="shared" si="3"/>
        <v/>
      </c>
      <c r="G712" s="71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69"/>
      <c r="C713" s="58" t="str">
        <f>IFERROR(VLOOKUP(B713 ,INVENTARIO!$B$2:C996,2,0),"")</f>
        <v/>
      </c>
      <c r="D713" s="71"/>
      <c r="E713" s="71"/>
      <c r="F713" s="61" t="str">
        <f t="shared" si="3"/>
        <v/>
      </c>
      <c r="G713" s="71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69"/>
      <c r="C714" s="58" t="str">
        <f>IFERROR(VLOOKUP(B714 ,INVENTARIO!$B$2:C996,2,0),"")</f>
        <v/>
      </c>
      <c r="D714" s="71"/>
      <c r="E714" s="71"/>
      <c r="F714" s="61" t="str">
        <f t="shared" si="3"/>
        <v/>
      </c>
      <c r="G714" s="71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69"/>
      <c r="C715" s="58" t="str">
        <f>IFERROR(VLOOKUP(B715 ,INVENTARIO!$B$2:C996,2,0),"")</f>
        <v/>
      </c>
      <c r="D715" s="71"/>
      <c r="E715" s="71"/>
      <c r="F715" s="61" t="str">
        <f t="shared" si="3"/>
        <v/>
      </c>
      <c r="G715" s="71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69"/>
      <c r="C716" s="58" t="str">
        <f>IFERROR(VLOOKUP(B716 ,INVENTARIO!$B$2:C996,2,0),"")</f>
        <v/>
      </c>
      <c r="D716" s="71"/>
      <c r="E716" s="71"/>
      <c r="F716" s="61" t="str">
        <f t="shared" si="3"/>
        <v/>
      </c>
      <c r="G716" s="71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69"/>
      <c r="C717" s="58" t="str">
        <f>IFERROR(VLOOKUP(B717 ,INVENTARIO!$B$2:C996,2,0),"")</f>
        <v/>
      </c>
      <c r="D717" s="71"/>
      <c r="E717" s="71"/>
      <c r="F717" s="61" t="str">
        <f t="shared" si="3"/>
        <v/>
      </c>
      <c r="G717" s="71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69"/>
      <c r="C718" s="58" t="str">
        <f>IFERROR(VLOOKUP(B718 ,INVENTARIO!$B$2:C996,2,0),"")</f>
        <v/>
      </c>
      <c r="D718" s="71"/>
      <c r="E718" s="71"/>
      <c r="F718" s="61" t="str">
        <f t="shared" si="3"/>
        <v/>
      </c>
      <c r="G718" s="71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69"/>
      <c r="C719" s="58" t="str">
        <f>IFERROR(VLOOKUP(B719 ,INVENTARIO!$B$2:C996,2,0),"")</f>
        <v/>
      </c>
      <c r="D719" s="71"/>
      <c r="E719" s="71"/>
      <c r="F719" s="61" t="str">
        <f t="shared" si="3"/>
        <v/>
      </c>
      <c r="G719" s="71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69"/>
      <c r="C720" s="58" t="str">
        <f>IFERROR(VLOOKUP(B720 ,INVENTARIO!$B$2:C996,2,0),"")</f>
        <v/>
      </c>
      <c r="D720" s="71"/>
      <c r="E720" s="71"/>
      <c r="F720" s="61" t="str">
        <f t="shared" si="3"/>
        <v/>
      </c>
      <c r="G720" s="71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69"/>
      <c r="C721" s="58" t="str">
        <f>IFERROR(VLOOKUP(B721 ,INVENTARIO!$B$2:C996,2,0),"")</f>
        <v/>
      </c>
      <c r="D721" s="71"/>
      <c r="E721" s="71"/>
      <c r="F721" s="61" t="str">
        <f t="shared" si="3"/>
        <v/>
      </c>
      <c r="G721" s="71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69"/>
      <c r="C722" s="58" t="str">
        <f>IFERROR(VLOOKUP(B722 ,INVENTARIO!$B$2:C996,2,0),"")</f>
        <v/>
      </c>
      <c r="D722" s="71"/>
      <c r="E722" s="71"/>
      <c r="F722" s="61" t="str">
        <f t="shared" si="3"/>
        <v/>
      </c>
      <c r="G722" s="71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69"/>
      <c r="C723" s="58" t="str">
        <f>IFERROR(VLOOKUP(B723 ,INVENTARIO!$B$2:C996,2,0),"")</f>
        <v/>
      </c>
      <c r="D723" s="71"/>
      <c r="E723" s="71"/>
      <c r="F723" s="61" t="str">
        <f t="shared" si="3"/>
        <v/>
      </c>
      <c r="G723" s="71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69"/>
      <c r="C724" s="58" t="str">
        <f>IFERROR(VLOOKUP(B724 ,INVENTARIO!$B$2:C996,2,0),"")</f>
        <v/>
      </c>
      <c r="D724" s="71"/>
      <c r="E724" s="71"/>
      <c r="F724" s="61" t="str">
        <f t="shared" si="3"/>
        <v/>
      </c>
      <c r="G724" s="71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69"/>
      <c r="C725" s="58" t="str">
        <f>IFERROR(VLOOKUP(B725 ,INVENTARIO!$B$2:C996,2,0),"")</f>
        <v/>
      </c>
      <c r="D725" s="71"/>
      <c r="E725" s="71"/>
      <c r="F725" s="61" t="str">
        <f t="shared" si="3"/>
        <v/>
      </c>
      <c r="G725" s="71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69"/>
      <c r="C726" s="58" t="str">
        <f>IFERROR(VLOOKUP(B726 ,INVENTARIO!$B$2:C996,2,0),"")</f>
        <v/>
      </c>
      <c r="D726" s="71"/>
      <c r="E726" s="71"/>
      <c r="F726" s="61" t="str">
        <f t="shared" si="3"/>
        <v/>
      </c>
      <c r="G726" s="71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69"/>
      <c r="C727" s="58" t="str">
        <f>IFERROR(VLOOKUP(B727 ,INVENTARIO!$B$2:C996,2,0),"")</f>
        <v/>
      </c>
      <c r="D727" s="71"/>
      <c r="E727" s="71"/>
      <c r="F727" s="61" t="str">
        <f t="shared" si="3"/>
        <v/>
      </c>
      <c r="G727" s="71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69"/>
      <c r="C728" s="58" t="str">
        <f>IFERROR(VLOOKUP(B728 ,INVENTARIO!$B$2:C996,2,0),"")</f>
        <v/>
      </c>
      <c r="D728" s="71"/>
      <c r="E728" s="71"/>
      <c r="F728" s="61" t="str">
        <f t="shared" si="3"/>
        <v/>
      </c>
      <c r="G728" s="71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69"/>
      <c r="C729" s="58" t="str">
        <f>IFERROR(VLOOKUP(B729 ,INVENTARIO!$B$2:C996,2,0),"")</f>
        <v/>
      </c>
      <c r="D729" s="71"/>
      <c r="E729" s="71"/>
      <c r="F729" s="61" t="str">
        <f t="shared" si="3"/>
        <v/>
      </c>
      <c r="G729" s="71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69"/>
      <c r="C730" s="58" t="str">
        <f>IFERROR(VLOOKUP(B730 ,INVENTARIO!$B$2:C996,2,0),"")</f>
        <v/>
      </c>
      <c r="D730" s="71"/>
      <c r="E730" s="71"/>
      <c r="F730" s="61" t="str">
        <f t="shared" si="3"/>
        <v/>
      </c>
      <c r="G730" s="71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69"/>
      <c r="C731" s="58" t="str">
        <f>IFERROR(VLOOKUP(B731 ,INVENTARIO!$B$2:C996,2,0),"")</f>
        <v/>
      </c>
      <c r="D731" s="71"/>
      <c r="E731" s="71"/>
      <c r="F731" s="61" t="str">
        <f t="shared" si="3"/>
        <v/>
      </c>
      <c r="G731" s="71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69"/>
      <c r="C732" s="58" t="str">
        <f>IFERROR(VLOOKUP(B732 ,INVENTARIO!$B$2:C996,2,0),"")</f>
        <v/>
      </c>
      <c r="D732" s="71"/>
      <c r="E732" s="71"/>
      <c r="F732" s="61" t="str">
        <f t="shared" si="3"/>
        <v/>
      </c>
      <c r="G732" s="71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69"/>
      <c r="C733" s="58" t="str">
        <f>IFERROR(VLOOKUP(B733 ,INVENTARIO!$B$2:C996,2,0),"")</f>
        <v/>
      </c>
      <c r="D733" s="71"/>
      <c r="E733" s="71"/>
      <c r="F733" s="61" t="str">
        <f t="shared" si="3"/>
        <v/>
      </c>
      <c r="G733" s="71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69"/>
      <c r="C734" s="58" t="str">
        <f>IFERROR(VLOOKUP(B734 ,INVENTARIO!$B$2:C996,2,0),"")</f>
        <v/>
      </c>
      <c r="D734" s="71"/>
      <c r="E734" s="71"/>
      <c r="F734" s="61" t="str">
        <f t="shared" si="3"/>
        <v/>
      </c>
      <c r="G734" s="71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69"/>
      <c r="C735" s="58" t="str">
        <f>IFERROR(VLOOKUP(B735 ,INVENTARIO!$B$2:C996,2,0),"")</f>
        <v/>
      </c>
      <c r="D735" s="71"/>
      <c r="E735" s="71"/>
      <c r="F735" s="61" t="str">
        <f t="shared" si="3"/>
        <v/>
      </c>
      <c r="G735" s="71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69"/>
      <c r="C736" s="58" t="str">
        <f>IFERROR(VLOOKUP(B736 ,INVENTARIO!$B$2:C996,2,0),"")</f>
        <v/>
      </c>
      <c r="D736" s="71"/>
      <c r="E736" s="71"/>
      <c r="F736" s="61" t="str">
        <f t="shared" si="3"/>
        <v/>
      </c>
      <c r="G736" s="71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69"/>
      <c r="C737" s="58" t="str">
        <f>IFERROR(VLOOKUP(B737 ,INVENTARIO!$B$2:C996,2,0),"")</f>
        <v/>
      </c>
      <c r="D737" s="71"/>
      <c r="E737" s="71"/>
      <c r="F737" s="61" t="str">
        <f t="shared" si="3"/>
        <v/>
      </c>
      <c r="G737" s="71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69"/>
      <c r="C738" s="58" t="str">
        <f>IFERROR(VLOOKUP(B738 ,INVENTARIO!$B$2:C996,2,0),"")</f>
        <v/>
      </c>
      <c r="D738" s="71"/>
      <c r="E738" s="71"/>
      <c r="F738" s="61" t="str">
        <f t="shared" si="3"/>
        <v/>
      </c>
      <c r="G738" s="71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69"/>
      <c r="C739" s="58" t="str">
        <f>IFERROR(VLOOKUP(B739 ,INVENTARIO!$B$2:C996,2,0),"")</f>
        <v/>
      </c>
      <c r="D739" s="71"/>
      <c r="E739" s="71"/>
      <c r="F739" s="61" t="str">
        <f t="shared" si="3"/>
        <v/>
      </c>
      <c r="G739" s="71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69"/>
      <c r="C740" s="58" t="str">
        <f>IFERROR(VLOOKUP(B740 ,INVENTARIO!$B$2:C996,2,0),"")</f>
        <v/>
      </c>
      <c r="D740" s="71"/>
      <c r="E740" s="71"/>
      <c r="F740" s="61" t="str">
        <f t="shared" si="3"/>
        <v/>
      </c>
      <c r="G740" s="71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69"/>
      <c r="C741" s="58" t="str">
        <f>IFERROR(VLOOKUP(B741 ,INVENTARIO!$B$2:C996,2,0),"")</f>
        <v/>
      </c>
      <c r="D741" s="71"/>
      <c r="E741" s="71"/>
      <c r="F741" s="61" t="str">
        <f t="shared" si="3"/>
        <v/>
      </c>
      <c r="G741" s="71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69"/>
      <c r="C742" s="58" t="str">
        <f>IFERROR(VLOOKUP(B742 ,INVENTARIO!$B$2:C996,2,0),"")</f>
        <v/>
      </c>
      <c r="D742" s="71"/>
      <c r="E742" s="71"/>
      <c r="F742" s="61" t="str">
        <f t="shared" si="3"/>
        <v/>
      </c>
      <c r="G742" s="71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69"/>
      <c r="C743" s="58" t="str">
        <f>IFERROR(VLOOKUP(B743 ,INVENTARIO!$B$2:C996,2,0),"")</f>
        <v/>
      </c>
      <c r="D743" s="71"/>
      <c r="E743" s="71"/>
      <c r="F743" s="61" t="str">
        <f t="shared" si="3"/>
        <v/>
      </c>
      <c r="G743" s="71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69"/>
      <c r="C744" s="58" t="str">
        <f>IFERROR(VLOOKUP(B744 ,INVENTARIO!$B$2:C996,2,0),"")</f>
        <v/>
      </c>
      <c r="D744" s="71"/>
      <c r="E744" s="71"/>
      <c r="F744" s="61" t="str">
        <f t="shared" si="3"/>
        <v/>
      </c>
      <c r="G744" s="71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69"/>
      <c r="C745" s="58" t="str">
        <f>IFERROR(VLOOKUP(B745 ,INVENTARIO!$B$2:C996,2,0),"")</f>
        <v/>
      </c>
      <c r="D745" s="71"/>
      <c r="E745" s="71"/>
      <c r="F745" s="61" t="str">
        <f t="shared" si="3"/>
        <v/>
      </c>
      <c r="G745" s="71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69"/>
      <c r="C746" s="58" t="str">
        <f>IFERROR(VLOOKUP(B746 ,INVENTARIO!$B$2:C996,2,0),"")</f>
        <v/>
      </c>
      <c r="D746" s="71"/>
      <c r="E746" s="71"/>
      <c r="F746" s="61" t="str">
        <f t="shared" si="3"/>
        <v/>
      </c>
      <c r="G746" s="71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69"/>
      <c r="C747" s="58" t="str">
        <f>IFERROR(VLOOKUP(B747 ,INVENTARIO!$B$2:C996,2,0),"")</f>
        <v/>
      </c>
      <c r="D747" s="71"/>
      <c r="E747" s="71"/>
      <c r="F747" s="61" t="str">
        <f t="shared" si="3"/>
        <v/>
      </c>
      <c r="G747" s="71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69"/>
      <c r="C748" s="58" t="str">
        <f>IFERROR(VLOOKUP(B748 ,INVENTARIO!$B$2:C996,2,0),"")</f>
        <v/>
      </c>
      <c r="D748" s="71"/>
      <c r="E748" s="71"/>
      <c r="F748" s="61" t="str">
        <f t="shared" si="3"/>
        <v/>
      </c>
      <c r="G748" s="71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69"/>
      <c r="C749" s="58" t="str">
        <f>IFERROR(VLOOKUP(B749 ,INVENTARIO!$B$2:C996,2,0),"")</f>
        <v/>
      </c>
      <c r="D749" s="71"/>
      <c r="E749" s="71"/>
      <c r="F749" s="61" t="str">
        <f t="shared" si="3"/>
        <v/>
      </c>
      <c r="G749" s="71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69"/>
      <c r="C750" s="58" t="str">
        <f>IFERROR(VLOOKUP(B750 ,INVENTARIO!$B$2:C996,2,0),"")</f>
        <v/>
      </c>
      <c r="D750" s="71"/>
      <c r="E750" s="71"/>
      <c r="F750" s="61" t="str">
        <f t="shared" si="3"/>
        <v/>
      </c>
      <c r="G750" s="71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69"/>
      <c r="C751" s="58" t="str">
        <f>IFERROR(VLOOKUP(B751 ,INVENTARIO!$B$2:C996,2,0),"")</f>
        <v/>
      </c>
      <c r="D751" s="71"/>
      <c r="E751" s="71"/>
      <c r="F751" s="61" t="str">
        <f t="shared" si="3"/>
        <v/>
      </c>
      <c r="G751" s="71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69"/>
      <c r="C752" s="58" t="str">
        <f>IFERROR(VLOOKUP(B752 ,INVENTARIO!$B$2:C996,2,0),"")</f>
        <v/>
      </c>
      <c r="D752" s="71"/>
      <c r="E752" s="71"/>
      <c r="F752" s="61" t="str">
        <f t="shared" si="3"/>
        <v/>
      </c>
      <c r="G752" s="71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69"/>
      <c r="C753" s="58" t="str">
        <f>IFERROR(VLOOKUP(B753 ,INVENTARIO!$B$2:C996,2,0),"")</f>
        <v/>
      </c>
      <c r="D753" s="71"/>
      <c r="E753" s="71"/>
      <c r="F753" s="61" t="str">
        <f t="shared" si="3"/>
        <v/>
      </c>
      <c r="G753" s="71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69"/>
      <c r="C754" s="58" t="str">
        <f>IFERROR(VLOOKUP(B754 ,INVENTARIO!$B$2:C996,2,0),"")</f>
        <v/>
      </c>
      <c r="D754" s="71"/>
      <c r="E754" s="71"/>
      <c r="F754" s="61" t="str">
        <f t="shared" si="3"/>
        <v/>
      </c>
      <c r="G754" s="71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69"/>
      <c r="C755" s="58" t="str">
        <f>IFERROR(VLOOKUP(B755 ,INVENTARIO!$B$2:C996,2,0),"")</f>
        <v/>
      </c>
      <c r="D755" s="71"/>
      <c r="E755" s="71"/>
      <c r="F755" s="61" t="str">
        <f t="shared" si="3"/>
        <v/>
      </c>
      <c r="G755" s="71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69"/>
      <c r="C756" s="58" t="str">
        <f>IFERROR(VLOOKUP(B756 ,INVENTARIO!$B$2:C996,2,0),"")</f>
        <v/>
      </c>
      <c r="D756" s="71"/>
      <c r="E756" s="71"/>
      <c r="F756" s="61" t="str">
        <f t="shared" si="3"/>
        <v/>
      </c>
      <c r="G756" s="71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69"/>
      <c r="C757" s="58" t="str">
        <f>IFERROR(VLOOKUP(B757 ,INVENTARIO!$B$2:C996,2,0),"")</f>
        <v/>
      </c>
      <c r="D757" s="71"/>
      <c r="E757" s="71"/>
      <c r="F757" s="61" t="str">
        <f t="shared" si="3"/>
        <v/>
      </c>
      <c r="G757" s="71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69"/>
      <c r="C758" s="58" t="str">
        <f>IFERROR(VLOOKUP(B758 ,INVENTARIO!$B$2:C996,2,0),"")</f>
        <v/>
      </c>
      <c r="D758" s="71"/>
      <c r="E758" s="71"/>
      <c r="F758" s="61" t="str">
        <f t="shared" si="3"/>
        <v/>
      </c>
      <c r="G758" s="71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69"/>
      <c r="C759" s="58" t="str">
        <f>IFERROR(VLOOKUP(B759 ,INVENTARIO!$B$2:C996,2,0),"")</f>
        <v/>
      </c>
      <c r="D759" s="71"/>
      <c r="E759" s="71"/>
      <c r="F759" s="61" t="str">
        <f t="shared" si="3"/>
        <v/>
      </c>
      <c r="G759" s="71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69"/>
      <c r="C760" s="58" t="str">
        <f>IFERROR(VLOOKUP(B760 ,INVENTARIO!$B$2:C996,2,0),"")</f>
        <v/>
      </c>
      <c r="D760" s="71"/>
      <c r="E760" s="71"/>
      <c r="F760" s="61" t="str">
        <f t="shared" si="3"/>
        <v/>
      </c>
      <c r="G760" s="71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69"/>
      <c r="C761" s="58" t="str">
        <f>IFERROR(VLOOKUP(B761 ,INVENTARIO!$B$2:C996,2,0),"")</f>
        <v/>
      </c>
      <c r="D761" s="71"/>
      <c r="E761" s="71"/>
      <c r="F761" s="61" t="str">
        <f t="shared" si="3"/>
        <v/>
      </c>
      <c r="G761" s="71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69"/>
      <c r="C762" s="58" t="str">
        <f>IFERROR(VLOOKUP(B762 ,INVENTARIO!$B$2:C996,2,0),"")</f>
        <v/>
      </c>
      <c r="D762" s="71"/>
      <c r="E762" s="71"/>
      <c r="F762" s="61" t="str">
        <f t="shared" si="3"/>
        <v/>
      </c>
      <c r="G762" s="71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69"/>
      <c r="C763" s="58" t="str">
        <f>IFERROR(VLOOKUP(B763 ,INVENTARIO!$B$2:C996,2,0),"")</f>
        <v/>
      </c>
      <c r="D763" s="71"/>
      <c r="E763" s="71"/>
      <c r="F763" s="61" t="str">
        <f t="shared" si="3"/>
        <v/>
      </c>
      <c r="G763" s="71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69"/>
      <c r="C764" s="58" t="str">
        <f>IFERROR(VLOOKUP(B764 ,INVENTARIO!$B$2:C996,2,0),"")</f>
        <v/>
      </c>
      <c r="D764" s="71"/>
      <c r="E764" s="71"/>
      <c r="F764" s="61" t="str">
        <f t="shared" si="3"/>
        <v/>
      </c>
      <c r="G764" s="71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69"/>
      <c r="C765" s="58" t="str">
        <f>IFERROR(VLOOKUP(B765 ,INVENTARIO!$B$2:C996,2,0),"")</f>
        <v/>
      </c>
      <c r="D765" s="71"/>
      <c r="E765" s="71"/>
      <c r="F765" s="61" t="str">
        <f t="shared" si="3"/>
        <v/>
      </c>
      <c r="G765" s="71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69"/>
      <c r="C766" s="58" t="str">
        <f>IFERROR(VLOOKUP(B766 ,INVENTARIO!$B$2:C996,2,0),"")</f>
        <v/>
      </c>
      <c r="D766" s="71"/>
      <c r="E766" s="71"/>
      <c r="F766" s="61" t="str">
        <f t="shared" si="3"/>
        <v/>
      </c>
      <c r="G766" s="71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69"/>
      <c r="C767" s="58" t="str">
        <f>IFERROR(VLOOKUP(B767 ,INVENTARIO!$B$2:C996,2,0),"")</f>
        <v/>
      </c>
      <c r="D767" s="71"/>
      <c r="E767" s="71"/>
      <c r="F767" s="61" t="str">
        <f t="shared" si="3"/>
        <v/>
      </c>
      <c r="G767" s="71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69"/>
      <c r="C768" s="58" t="str">
        <f>IFERROR(VLOOKUP(B768 ,INVENTARIO!$B$2:C996,2,0),"")</f>
        <v/>
      </c>
      <c r="D768" s="71"/>
      <c r="E768" s="71"/>
      <c r="F768" s="61" t="str">
        <f t="shared" si="3"/>
        <v/>
      </c>
      <c r="G768" s="71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69"/>
      <c r="C769" s="58" t="str">
        <f>IFERROR(VLOOKUP(B769 ,INVENTARIO!$B$2:C996,2,0),"")</f>
        <v/>
      </c>
      <c r="D769" s="71"/>
      <c r="E769" s="71"/>
      <c r="F769" s="61" t="str">
        <f t="shared" si="3"/>
        <v/>
      </c>
      <c r="G769" s="71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69"/>
      <c r="C770" s="58" t="str">
        <f>IFERROR(VLOOKUP(B770 ,INVENTARIO!$B$2:C996,2,0),"")</f>
        <v/>
      </c>
      <c r="D770" s="71"/>
      <c r="E770" s="71"/>
      <c r="F770" s="61" t="str">
        <f t="shared" si="3"/>
        <v/>
      </c>
      <c r="G770" s="71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69"/>
      <c r="C771" s="58" t="str">
        <f>IFERROR(VLOOKUP(B771 ,INVENTARIO!$B$2:C996,2,0),"")</f>
        <v/>
      </c>
      <c r="D771" s="71"/>
      <c r="E771" s="71"/>
      <c r="F771" s="61" t="str">
        <f t="shared" si="3"/>
        <v/>
      </c>
      <c r="G771" s="71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69"/>
      <c r="C772" s="58" t="str">
        <f>IFERROR(VLOOKUP(B772 ,INVENTARIO!$B$2:C996,2,0),"")</f>
        <v/>
      </c>
      <c r="D772" s="71"/>
      <c r="E772" s="71"/>
      <c r="F772" s="61" t="str">
        <f t="shared" si="3"/>
        <v/>
      </c>
      <c r="G772" s="71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69"/>
      <c r="C773" s="58" t="str">
        <f>IFERROR(VLOOKUP(B773 ,INVENTARIO!$B$2:C996,2,0),"")</f>
        <v/>
      </c>
      <c r="D773" s="71"/>
      <c r="E773" s="71"/>
      <c r="F773" s="61" t="str">
        <f t="shared" si="3"/>
        <v/>
      </c>
      <c r="G773" s="71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69"/>
      <c r="C774" s="58" t="str">
        <f>IFERROR(VLOOKUP(B774 ,INVENTARIO!$B$2:C996,2,0),"")</f>
        <v/>
      </c>
      <c r="D774" s="71"/>
      <c r="E774" s="71"/>
      <c r="F774" s="61" t="str">
        <f t="shared" si="3"/>
        <v/>
      </c>
      <c r="G774" s="71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69"/>
      <c r="C775" s="58" t="str">
        <f>IFERROR(VLOOKUP(B775 ,INVENTARIO!$B$2:C996,2,0),"")</f>
        <v/>
      </c>
      <c r="D775" s="71"/>
      <c r="E775" s="71"/>
      <c r="F775" s="61" t="str">
        <f t="shared" si="3"/>
        <v/>
      </c>
      <c r="G775" s="71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69"/>
      <c r="C776" s="58" t="str">
        <f>IFERROR(VLOOKUP(B776 ,INVENTARIO!$B$2:C996,2,0),"")</f>
        <v/>
      </c>
      <c r="D776" s="71"/>
      <c r="E776" s="71"/>
      <c r="F776" s="61" t="str">
        <f t="shared" si="3"/>
        <v/>
      </c>
      <c r="G776" s="71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69"/>
      <c r="C777" s="58" t="str">
        <f>IFERROR(VLOOKUP(B777 ,INVENTARIO!$B$2:C996,2,0),"")</f>
        <v/>
      </c>
      <c r="D777" s="71"/>
      <c r="E777" s="71"/>
      <c r="F777" s="61" t="str">
        <f t="shared" si="3"/>
        <v/>
      </c>
      <c r="G777" s="71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69"/>
      <c r="C778" s="58" t="str">
        <f>IFERROR(VLOOKUP(B778 ,INVENTARIO!$B$2:C996,2,0),"")</f>
        <v/>
      </c>
      <c r="D778" s="71"/>
      <c r="E778" s="71"/>
      <c r="F778" s="61" t="str">
        <f t="shared" si="3"/>
        <v/>
      </c>
      <c r="G778" s="71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69"/>
      <c r="C779" s="58" t="str">
        <f>IFERROR(VLOOKUP(B779 ,INVENTARIO!$B$2:C996,2,0),"")</f>
        <v/>
      </c>
      <c r="D779" s="71"/>
      <c r="E779" s="71"/>
      <c r="F779" s="61" t="str">
        <f t="shared" si="3"/>
        <v/>
      </c>
      <c r="G779" s="71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69"/>
      <c r="C780" s="58" t="str">
        <f>IFERROR(VLOOKUP(B780 ,INVENTARIO!$B$2:C996,2,0),"")</f>
        <v/>
      </c>
      <c r="D780" s="71"/>
      <c r="E780" s="71"/>
      <c r="F780" s="61" t="str">
        <f t="shared" si="3"/>
        <v/>
      </c>
      <c r="G780" s="71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69"/>
      <c r="C781" s="58" t="str">
        <f>IFERROR(VLOOKUP(B781 ,INVENTARIO!$B$2:C996,2,0),"")</f>
        <v/>
      </c>
      <c r="D781" s="71"/>
      <c r="E781" s="71"/>
      <c r="F781" s="61" t="str">
        <f t="shared" si="3"/>
        <v/>
      </c>
      <c r="G781" s="71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69"/>
      <c r="C782" s="58" t="str">
        <f>IFERROR(VLOOKUP(B782 ,INVENTARIO!$B$2:C996,2,0),"")</f>
        <v/>
      </c>
      <c r="D782" s="71"/>
      <c r="E782" s="71"/>
      <c r="F782" s="61" t="str">
        <f t="shared" si="3"/>
        <v/>
      </c>
      <c r="G782" s="71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69"/>
      <c r="C783" s="58" t="str">
        <f>IFERROR(VLOOKUP(B783 ,INVENTARIO!$B$2:C996,2,0),"")</f>
        <v/>
      </c>
      <c r="D783" s="71"/>
      <c r="E783" s="71"/>
      <c r="F783" s="61" t="str">
        <f t="shared" si="3"/>
        <v/>
      </c>
      <c r="G783" s="71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69"/>
      <c r="C784" s="58" t="str">
        <f>IFERROR(VLOOKUP(B784 ,INVENTARIO!$B$2:C996,2,0),"")</f>
        <v/>
      </c>
      <c r="D784" s="71"/>
      <c r="E784" s="71"/>
      <c r="F784" s="61" t="str">
        <f t="shared" si="3"/>
        <v/>
      </c>
      <c r="G784" s="71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69"/>
      <c r="C785" s="58" t="str">
        <f>IFERROR(VLOOKUP(B785 ,INVENTARIO!$B$2:C996,2,0),"")</f>
        <v/>
      </c>
      <c r="D785" s="71"/>
      <c r="E785" s="71"/>
      <c r="F785" s="61" t="str">
        <f t="shared" si="3"/>
        <v/>
      </c>
      <c r="G785" s="71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69"/>
      <c r="C786" s="58" t="str">
        <f>IFERROR(VLOOKUP(B786 ,INVENTARIO!$B$2:C996,2,0),"")</f>
        <v/>
      </c>
      <c r="D786" s="71"/>
      <c r="E786" s="71"/>
      <c r="F786" s="61" t="str">
        <f t="shared" si="3"/>
        <v/>
      </c>
      <c r="G786" s="71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69"/>
      <c r="C787" s="58" t="str">
        <f>IFERROR(VLOOKUP(B787 ,INVENTARIO!$B$2:C996,2,0),"")</f>
        <v/>
      </c>
      <c r="D787" s="71"/>
      <c r="E787" s="71"/>
      <c r="F787" s="61" t="str">
        <f t="shared" si="3"/>
        <v/>
      </c>
      <c r="G787" s="71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69"/>
      <c r="C788" s="58" t="str">
        <f>IFERROR(VLOOKUP(B788 ,INVENTARIO!$B$2:C996,2,0),"")</f>
        <v/>
      </c>
      <c r="D788" s="71"/>
      <c r="E788" s="71"/>
      <c r="F788" s="61" t="str">
        <f t="shared" si="3"/>
        <v/>
      </c>
      <c r="G788" s="71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69"/>
      <c r="C789" s="58" t="str">
        <f>IFERROR(VLOOKUP(B789 ,INVENTARIO!$B$2:C996,2,0),"")</f>
        <v/>
      </c>
      <c r="D789" s="71"/>
      <c r="E789" s="71"/>
      <c r="F789" s="61" t="str">
        <f t="shared" si="3"/>
        <v/>
      </c>
      <c r="G789" s="71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69"/>
      <c r="C790" s="58" t="str">
        <f>IFERROR(VLOOKUP(B790 ,INVENTARIO!$B$2:C996,2,0),"")</f>
        <v/>
      </c>
      <c r="D790" s="71"/>
      <c r="E790" s="71"/>
      <c r="F790" s="61" t="str">
        <f t="shared" si="3"/>
        <v/>
      </c>
      <c r="G790" s="71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69"/>
      <c r="C791" s="58" t="str">
        <f>IFERROR(VLOOKUP(B791 ,INVENTARIO!$B$2:C996,2,0),"")</f>
        <v/>
      </c>
      <c r="D791" s="71"/>
      <c r="E791" s="71"/>
      <c r="F791" s="61" t="str">
        <f t="shared" si="3"/>
        <v/>
      </c>
      <c r="G791" s="71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69"/>
      <c r="C792" s="58" t="str">
        <f>IFERROR(VLOOKUP(B792 ,INVENTARIO!$B$2:C996,2,0),"")</f>
        <v/>
      </c>
      <c r="D792" s="71"/>
      <c r="E792" s="71"/>
      <c r="F792" s="61" t="str">
        <f t="shared" si="3"/>
        <v/>
      </c>
      <c r="G792" s="71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69"/>
      <c r="C793" s="58" t="str">
        <f>IFERROR(VLOOKUP(B793 ,INVENTARIO!$B$2:C996,2,0),"")</f>
        <v/>
      </c>
      <c r="D793" s="71"/>
      <c r="E793" s="71"/>
      <c r="F793" s="61" t="str">
        <f t="shared" si="3"/>
        <v/>
      </c>
      <c r="G793" s="71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69"/>
      <c r="C794" s="58" t="str">
        <f>IFERROR(VLOOKUP(B794 ,INVENTARIO!$B$2:C996,2,0),"")</f>
        <v/>
      </c>
      <c r="D794" s="71"/>
      <c r="E794" s="71"/>
      <c r="F794" s="61" t="str">
        <f t="shared" si="3"/>
        <v/>
      </c>
      <c r="G794" s="71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69"/>
      <c r="C795" s="58" t="str">
        <f>IFERROR(VLOOKUP(B795 ,INVENTARIO!$B$2:C996,2,0),"")</f>
        <v/>
      </c>
      <c r="D795" s="71"/>
      <c r="E795" s="71"/>
      <c r="F795" s="61" t="str">
        <f t="shared" si="3"/>
        <v/>
      </c>
      <c r="G795" s="71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69"/>
      <c r="C796" s="58" t="str">
        <f>IFERROR(VLOOKUP(B796 ,INVENTARIO!$B$2:C996,2,0),"")</f>
        <v/>
      </c>
      <c r="D796" s="71"/>
      <c r="E796" s="71"/>
      <c r="F796" s="61" t="str">
        <f t="shared" si="3"/>
        <v/>
      </c>
      <c r="G796" s="71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69"/>
      <c r="C797" s="58" t="str">
        <f>IFERROR(VLOOKUP(B797 ,INVENTARIO!$B$2:C996,2,0),"")</f>
        <v/>
      </c>
      <c r="D797" s="71"/>
      <c r="E797" s="71"/>
      <c r="F797" s="61" t="str">
        <f t="shared" si="3"/>
        <v/>
      </c>
      <c r="G797" s="71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69"/>
      <c r="C798" s="58" t="str">
        <f>IFERROR(VLOOKUP(B798 ,INVENTARIO!$B$2:C996,2,0),"")</f>
        <v/>
      </c>
      <c r="D798" s="71"/>
      <c r="E798" s="71"/>
      <c r="F798" s="61" t="str">
        <f t="shared" si="3"/>
        <v/>
      </c>
      <c r="G798" s="71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69"/>
      <c r="C799" s="58" t="str">
        <f>IFERROR(VLOOKUP(B799 ,INVENTARIO!$B$2:C996,2,0),"")</f>
        <v/>
      </c>
      <c r="D799" s="71"/>
      <c r="E799" s="71"/>
      <c r="F799" s="61" t="str">
        <f t="shared" si="3"/>
        <v/>
      </c>
      <c r="G799" s="71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69"/>
      <c r="C800" s="58" t="str">
        <f>IFERROR(VLOOKUP(B800 ,INVENTARIO!$B$2:C996,2,0),"")</f>
        <v/>
      </c>
      <c r="D800" s="71"/>
      <c r="E800" s="71"/>
      <c r="F800" s="61" t="str">
        <f t="shared" si="3"/>
        <v/>
      </c>
      <c r="G800" s="71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69"/>
      <c r="C801" s="58" t="str">
        <f>IFERROR(VLOOKUP(B801 ,INVENTARIO!$B$2:C996,2,0),"")</f>
        <v/>
      </c>
      <c r="D801" s="71"/>
      <c r="E801" s="71"/>
      <c r="F801" s="61" t="str">
        <f t="shared" si="3"/>
        <v/>
      </c>
      <c r="G801" s="71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69"/>
      <c r="C802" s="58" t="str">
        <f>IFERROR(VLOOKUP(B802 ,INVENTARIO!$B$2:C996,2,0),"")</f>
        <v/>
      </c>
      <c r="D802" s="71"/>
      <c r="E802" s="71"/>
      <c r="F802" s="61" t="str">
        <f t="shared" si="3"/>
        <v/>
      </c>
      <c r="G802" s="71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69"/>
      <c r="C803" s="58" t="str">
        <f>IFERROR(VLOOKUP(B803 ,INVENTARIO!$B$2:C996,2,0),"")</f>
        <v/>
      </c>
      <c r="D803" s="71"/>
      <c r="E803" s="71"/>
      <c r="F803" s="61" t="str">
        <f t="shared" si="3"/>
        <v/>
      </c>
      <c r="G803" s="71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69"/>
      <c r="C804" s="58" t="str">
        <f>IFERROR(VLOOKUP(B804 ,INVENTARIO!$B$2:C996,2,0),"")</f>
        <v/>
      </c>
      <c r="D804" s="71"/>
      <c r="E804" s="71"/>
      <c r="F804" s="61" t="str">
        <f t="shared" si="3"/>
        <v/>
      </c>
      <c r="G804" s="71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69"/>
      <c r="C805" s="58" t="str">
        <f>IFERROR(VLOOKUP(B805 ,INVENTARIO!$B$2:C996,2,0),"")</f>
        <v/>
      </c>
      <c r="D805" s="71"/>
      <c r="E805" s="71"/>
      <c r="F805" s="61" t="str">
        <f t="shared" si="3"/>
        <v/>
      </c>
      <c r="G805" s="71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69"/>
      <c r="C806" s="58" t="str">
        <f>IFERROR(VLOOKUP(B806 ,INVENTARIO!$B$2:C996,2,0),"")</f>
        <v/>
      </c>
      <c r="D806" s="71"/>
      <c r="E806" s="71"/>
      <c r="F806" s="61" t="str">
        <f t="shared" si="3"/>
        <v/>
      </c>
      <c r="G806" s="71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69"/>
      <c r="C807" s="58" t="str">
        <f>IFERROR(VLOOKUP(B807 ,INVENTARIO!$B$2:C996,2,0),"")</f>
        <v/>
      </c>
      <c r="D807" s="71"/>
      <c r="E807" s="71"/>
      <c r="F807" s="61" t="str">
        <f t="shared" si="3"/>
        <v/>
      </c>
      <c r="G807" s="71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69"/>
      <c r="C808" s="58" t="str">
        <f>IFERROR(VLOOKUP(B808 ,INVENTARIO!$B$2:C996,2,0),"")</f>
        <v/>
      </c>
      <c r="D808" s="71"/>
      <c r="E808" s="71"/>
      <c r="F808" s="61" t="str">
        <f t="shared" si="3"/>
        <v/>
      </c>
      <c r="G808" s="71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69"/>
      <c r="C809" s="58" t="str">
        <f>IFERROR(VLOOKUP(B809 ,INVENTARIO!$B$2:C996,2,0),"")</f>
        <v/>
      </c>
      <c r="D809" s="71"/>
      <c r="E809" s="71"/>
      <c r="F809" s="61" t="str">
        <f t="shared" si="3"/>
        <v/>
      </c>
      <c r="G809" s="71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69"/>
      <c r="C810" s="58" t="str">
        <f>IFERROR(VLOOKUP(B810 ,INVENTARIO!$B$2:C996,2,0),"")</f>
        <v/>
      </c>
      <c r="D810" s="71"/>
      <c r="E810" s="71"/>
      <c r="F810" s="61" t="str">
        <f t="shared" si="3"/>
        <v/>
      </c>
      <c r="G810" s="71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69"/>
      <c r="C811" s="58" t="str">
        <f>IFERROR(VLOOKUP(B811 ,INVENTARIO!$B$2:C996,2,0),"")</f>
        <v/>
      </c>
      <c r="D811" s="71"/>
      <c r="E811" s="71"/>
      <c r="F811" s="61" t="str">
        <f t="shared" si="3"/>
        <v/>
      </c>
      <c r="G811" s="71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69"/>
      <c r="C812" s="58" t="str">
        <f>IFERROR(VLOOKUP(B812 ,INVENTARIO!$B$2:C996,2,0),"")</f>
        <v/>
      </c>
      <c r="D812" s="71"/>
      <c r="E812" s="71"/>
      <c r="F812" s="61" t="str">
        <f t="shared" si="3"/>
        <v/>
      </c>
      <c r="G812" s="71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69"/>
      <c r="C813" s="58" t="str">
        <f>IFERROR(VLOOKUP(B813 ,INVENTARIO!$B$2:C996,2,0),"")</f>
        <v/>
      </c>
      <c r="D813" s="71"/>
      <c r="E813" s="71"/>
      <c r="F813" s="61" t="str">
        <f t="shared" si="3"/>
        <v/>
      </c>
      <c r="G813" s="71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69"/>
      <c r="C814" s="58" t="str">
        <f>IFERROR(VLOOKUP(B814 ,INVENTARIO!$B$2:C996,2,0),"")</f>
        <v/>
      </c>
      <c r="D814" s="71"/>
      <c r="E814" s="71"/>
      <c r="F814" s="61" t="str">
        <f t="shared" si="3"/>
        <v/>
      </c>
      <c r="G814" s="71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69"/>
      <c r="C815" s="58" t="str">
        <f>IFERROR(VLOOKUP(B815 ,INVENTARIO!$B$2:C996,2,0),"")</f>
        <v/>
      </c>
      <c r="D815" s="71"/>
      <c r="E815" s="71"/>
      <c r="F815" s="61" t="str">
        <f t="shared" si="3"/>
        <v/>
      </c>
      <c r="G815" s="71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69"/>
      <c r="C816" s="58" t="str">
        <f>IFERROR(VLOOKUP(B816 ,INVENTARIO!$B$2:C996,2,0),"")</f>
        <v/>
      </c>
      <c r="D816" s="71"/>
      <c r="E816" s="71"/>
      <c r="F816" s="61" t="str">
        <f t="shared" si="3"/>
        <v/>
      </c>
      <c r="G816" s="71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69"/>
      <c r="C817" s="58" t="str">
        <f>IFERROR(VLOOKUP(B817 ,INVENTARIO!$B$2:C996,2,0),"")</f>
        <v/>
      </c>
      <c r="D817" s="71"/>
      <c r="E817" s="71"/>
      <c r="F817" s="61" t="str">
        <f t="shared" si="3"/>
        <v/>
      </c>
      <c r="G817" s="71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69"/>
      <c r="C818" s="58" t="str">
        <f>IFERROR(VLOOKUP(B818 ,INVENTARIO!$B$2:C996,2,0),"")</f>
        <v/>
      </c>
      <c r="D818" s="71"/>
      <c r="E818" s="71"/>
      <c r="F818" s="61" t="str">
        <f t="shared" si="3"/>
        <v/>
      </c>
      <c r="G818" s="71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69"/>
      <c r="C819" s="58" t="str">
        <f>IFERROR(VLOOKUP(B819 ,INVENTARIO!$B$2:C996,2,0),"")</f>
        <v/>
      </c>
      <c r="D819" s="71"/>
      <c r="E819" s="71"/>
      <c r="F819" s="61" t="str">
        <f t="shared" si="3"/>
        <v/>
      </c>
      <c r="G819" s="71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69"/>
      <c r="C820" s="58" t="str">
        <f>IFERROR(VLOOKUP(B820 ,INVENTARIO!$B$2:C996,2,0),"")</f>
        <v/>
      </c>
      <c r="D820" s="71"/>
      <c r="E820" s="71"/>
      <c r="F820" s="61" t="str">
        <f t="shared" si="3"/>
        <v/>
      </c>
      <c r="G820" s="71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69"/>
      <c r="C821" s="58" t="str">
        <f>IFERROR(VLOOKUP(B821 ,INVENTARIO!$B$2:C996,2,0),"")</f>
        <v/>
      </c>
      <c r="D821" s="71"/>
      <c r="E821" s="71"/>
      <c r="F821" s="61" t="str">
        <f t="shared" si="3"/>
        <v/>
      </c>
      <c r="G821" s="71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69"/>
      <c r="C822" s="58" t="str">
        <f>IFERROR(VLOOKUP(B822 ,INVENTARIO!$B$2:C996,2,0),"")</f>
        <v/>
      </c>
      <c r="D822" s="71"/>
      <c r="E822" s="71"/>
      <c r="F822" s="61" t="str">
        <f t="shared" si="3"/>
        <v/>
      </c>
      <c r="G822" s="71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69"/>
      <c r="C823" s="58" t="str">
        <f>IFERROR(VLOOKUP(B823 ,INVENTARIO!$B$2:C996,2,0),"")</f>
        <v/>
      </c>
      <c r="D823" s="71"/>
      <c r="E823" s="71"/>
      <c r="F823" s="61" t="str">
        <f t="shared" si="3"/>
        <v/>
      </c>
      <c r="G823" s="71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69"/>
      <c r="C824" s="58" t="str">
        <f>IFERROR(VLOOKUP(B824 ,INVENTARIO!$B$2:C996,2,0),"")</f>
        <v/>
      </c>
      <c r="D824" s="71"/>
      <c r="E824" s="71"/>
      <c r="F824" s="61" t="str">
        <f t="shared" si="3"/>
        <v/>
      </c>
      <c r="G824" s="71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69"/>
      <c r="C825" s="58" t="str">
        <f>IFERROR(VLOOKUP(B825 ,INVENTARIO!$B$2:C996,2,0),"")</f>
        <v/>
      </c>
      <c r="D825" s="71"/>
      <c r="E825" s="71"/>
      <c r="F825" s="61" t="str">
        <f t="shared" si="3"/>
        <v/>
      </c>
      <c r="G825" s="71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69"/>
      <c r="C826" s="58" t="str">
        <f>IFERROR(VLOOKUP(B826 ,INVENTARIO!$B$2:C996,2,0),"")</f>
        <v/>
      </c>
      <c r="D826" s="71"/>
      <c r="E826" s="71"/>
      <c r="F826" s="61" t="str">
        <f t="shared" si="3"/>
        <v/>
      </c>
      <c r="G826" s="71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69"/>
      <c r="C827" s="58" t="str">
        <f>IFERROR(VLOOKUP(B827 ,INVENTARIO!$B$2:C996,2,0),"")</f>
        <v/>
      </c>
      <c r="D827" s="71"/>
      <c r="E827" s="71"/>
      <c r="F827" s="61" t="str">
        <f t="shared" si="3"/>
        <v/>
      </c>
      <c r="G827" s="71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69"/>
      <c r="C828" s="58" t="str">
        <f>IFERROR(VLOOKUP(B828 ,INVENTARIO!$B$2:C996,2,0),"")</f>
        <v/>
      </c>
      <c r="D828" s="71"/>
      <c r="E828" s="71"/>
      <c r="F828" s="61" t="str">
        <f t="shared" si="3"/>
        <v/>
      </c>
      <c r="G828" s="71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69"/>
      <c r="C829" s="58" t="str">
        <f>IFERROR(VLOOKUP(B829 ,INVENTARIO!$B$2:C996,2,0),"")</f>
        <v/>
      </c>
      <c r="D829" s="71"/>
      <c r="E829" s="71"/>
      <c r="F829" s="61" t="str">
        <f t="shared" si="3"/>
        <v/>
      </c>
      <c r="G829" s="71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69"/>
      <c r="C830" s="58" t="str">
        <f>IFERROR(VLOOKUP(B830 ,INVENTARIO!$B$2:C996,2,0),"")</f>
        <v/>
      </c>
      <c r="D830" s="71"/>
      <c r="E830" s="71"/>
      <c r="F830" s="61" t="str">
        <f t="shared" si="3"/>
        <v/>
      </c>
      <c r="G830" s="71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69"/>
      <c r="C831" s="58" t="str">
        <f>IFERROR(VLOOKUP(B831 ,INVENTARIO!$B$2:C996,2,0),"")</f>
        <v/>
      </c>
      <c r="D831" s="71"/>
      <c r="E831" s="71"/>
      <c r="F831" s="61" t="str">
        <f t="shared" si="3"/>
        <v/>
      </c>
      <c r="G831" s="71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69"/>
      <c r="C832" s="58" t="str">
        <f>IFERROR(VLOOKUP(B832 ,INVENTARIO!$B$2:C996,2,0),"")</f>
        <v/>
      </c>
      <c r="D832" s="71"/>
      <c r="E832" s="71"/>
      <c r="F832" s="61" t="str">
        <f t="shared" si="3"/>
        <v/>
      </c>
      <c r="G832" s="71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69"/>
      <c r="C833" s="58" t="str">
        <f>IFERROR(VLOOKUP(B833 ,INVENTARIO!$B$2:C996,2,0),"")</f>
        <v/>
      </c>
      <c r="D833" s="71"/>
      <c r="E833" s="71"/>
      <c r="F833" s="61" t="str">
        <f t="shared" si="3"/>
        <v/>
      </c>
      <c r="G833" s="71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69"/>
      <c r="C834" s="58" t="str">
        <f>IFERROR(VLOOKUP(B834 ,INVENTARIO!$B$2:C996,2,0),"")</f>
        <v/>
      </c>
      <c r="D834" s="71"/>
      <c r="E834" s="71"/>
      <c r="F834" s="61" t="str">
        <f t="shared" si="3"/>
        <v/>
      </c>
      <c r="G834" s="71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69"/>
      <c r="C835" s="58" t="str">
        <f>IFERROR(VLOOKUP(B835 ,INVENTARIO!$B$2:C996,2,0),"")</f>
        <v/>
      </c>
      <c r="D835" s="71"/>
      <c r="E835" s="71"/>
      <c r="F835" s="61" t="str">
        <f t="shared" si="3"/>
        <v/>
      </c>
      <c r="G835" s="71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69"/>
      <c r="C836" s="58" t="str">
        <f>IFERROR(VLOOKUP(B836 ,INVENTARIO!$B$2:C996,2,0),"")</f>
        <v/>
      </c>
      <c r="D836" s="71"/>
      <c r="E836" s="71"/>
      <c r="F836" s="61" t="str">
        <f t="shared" si="3"/>
        <v/>
      </c>
      <c r="G836" s="71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69"/>
      <c r="C837" s="58" t="str">
        <f>IFERROR(VLOOKUP(B837 ,INVENTARIO!$B$2:C996,2,0),"")</f>
        <v/>
      </c>
      <c r="D837" s="71"/>
      <c r="E837" s="71"/>
      <c r="F837" s="61" t="str">
        <f t="shared" si="3"/>
        <v/>
      </c>
      <c r="G837" s="71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69"/>
      <c r="C838" s="58" t="str">
        <f>IFERROR(VLOOKUP(B838 ,INVENTARIO!$B$2:C996,2,0),"")</f>
        <v/>
      </c>
      <c r="D838" s="71"/>
      <c r="E838" s="71"/>
      <c r="F838" s="61" t="str">
        <f t="shared" si="3"/>
        <v/>
      </c>
      <c r="G838" s="71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69"/>
      <c r="C839" s="58" t="str">
        <f>IFERROR(VLOOKUP(B839 ,INVENTARIO!$B$2:C996,2,0),"")</f>
        <v/>
      </c>
      <c r="D839" s="71"/>
      <c r="E839" s="71"/>
      <c r="F839" s="61" t="str">
        <f t="shared" si="3"/>
        <v/>
      </c>
      <c r="G839" s="71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69"/>
      <c r="C840" s="58" t="str">
        <f>IFERROR(VLOOKUP(B840 ,INVENTARIO!$B$2:C996,2,0),"")</f>
        <v/>
      </c>
      <c r="D840" s="71"/>
      <c r="E840" s="71"/>
      <c r="F840" s="61" t="str">
        <f t="shared" si="3"/>
        <v/>
      </c>
      <c r="G840" s="71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69"/>
      <c r="C841" s="58" t="str">
        <f>IFERROR(VLOOKUP(B841 ,INVENTARIO!$B$2:C996,2,0),"")</f>
        <v/>
      </c>
      <c r="D841" s="71"/>
      <c r="E841" s="71"/>
      <c r="F841" s="61" t="str">
        <f t="shared" si="3"/>
        <v/>
      </c>
      <c r="G841" s="71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69"/>
      <c r="C842" s="58" t="str">
        <f>IFERROR(VLOOKUP(B842 ,INVENTARIO!$B$2:C996,2,0),"")</f>
        <v/>
      </c>
      <c r="D842" s="71"/>
      <c r="E842" s="71"/>
      <c r="F842" s="61" t="str">
        <f t="shared" si="3"/>
        <v/>
      </c>
      <c r="G842" s="71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69"/>
      <c r="C843" s="58" t="str">
        <f>IFERROR(VLOOKUP(B843 ,INVENTARIO!$B$2:C996,2,0),"")</f>
        <v/>
      </c>
      <c r="D843" s="71"/>
      <c r="E843" s="71"/>
      <c r="F843" s="61" t="str">
        <f t="shared" si="3"/>
        <v/>
      </c>
      <c r="G843" s="71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69"/>
      <c r="C844" s="58" t="str">
        <f>IFERROR(VLOOKUP(B844 ,INVENTARIO!$B$2:C996,2,0),"")</f>
        <v/>
      </c>
      <c r="D844" s="71"/>
      <c r="E844" s="71"/>
      <c r="F844" s="61" t="str">
        <f t="shared" si="3"/>
        <v/>
      </c>
      <c r="G844" s="71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69"/>
      <c r="C845" s="58" t="str">
        <f>IFERROR(VLOOKUP(B845 ,INVENTARIO!$B$2:C996,2,0),"")</f>
        <v/>
      </c>
      <c r="D845" s="71"/>
      <c r="E845" s="71"/>
      <c r="F845" s="61" t="str">
        <f t="shared" si="3"/>
        <v/>
      </c>
      <c r="G845" s="71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69"/>
      <c r="C846" s="58" t="str">
        <f>IFERROR(VLOOKUP(B846 ,INVENTARIO!$B$2:C996,2,0),"")</f>
        <v/>
      </c>
      <c r="D846" s="71"/>
      <c r="E846" s="71"/>
      <c r="F846" s="61" t="str">
        <f t="shared" si="3"/>
        <v/>
      </c>
      <c r="G846" s="71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69"/>
      <c r="C847" s="58" t="str">
        <f>IFERROR(VLOOKUP(B847 ,INVENTARIO!$B$2:C996,2,0),"")</f>
        <v/>
      </c>
      <c r="D847" s="71"/>
      <c r="E847" s="71"/>
      <c r="F847" s="61" t="str">
        <f t="shared" si="3"/>
        <v/>
      </c>
      <c r="G847" s="71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69"/>
      <c r="C848" s="58" t="str">
        <f>IFERROR(VLOOKUP(B848 ,INVENTARIO!$B$2:C996,2,0),"")</f>
        <v/>
      </c>
      <c r="D848" s="71"/>
      <c r="E848" s="71"/>
      <c r="F848" s="61" t="str">
        <f t="shared" si="3"/>
        <v/>
      </c>
      <c r="G848" s="71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69"/>
      <c r="C849" s="58" t="str">
        <f>IFERROR(VLOOKUP(B849 ,INVENTARIO!$B$2:C996,2,0),"")</f>
        <v/>
      </c>
      <c r="D849" s="71"/>
      <c r="E849" s="71"/>
      <c r="F849" s="61" t="str">
        <f t="shared" si="3"/>
        <v/>
      </c>
      <c r="G849" s="71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69"/>
      <c r="C850" s="58" t="str">
        <f>IFERROR(VLOOKUP(B850 ,INVENTARIO!$B$2:C996,2,0),"")</f>
        <v/>
      </c>
      <c r="D850" s="71"/>
      <c r="E850" s="71"/>
      <c r="F850" s="61" t="str">
        <f t="shared" si="3"/>
        <v/>
      </c>
      <c r="G850" s="71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69"/>
      <c r="C851" s="58" t="str">
        <f>IFERROR(VLOOKUP(B851 ,INVENTARIO!$B$2:C996,2,0),"")</f>
        <v/>
      </c>
      <c r="D851" s="71"/>
      <c r="E851" s="71"/>
      <c r="F851" s="61" t="str">
        <f t="shared" si="3"/>
        <v/>
      </c>
      <c r="G851" s="71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69"/>
      <c r="C852" s="58" t="str">
        <f>IFERROR(VLOOKUP(B852 ,INVENTARIO!$B$2:C996,2,0),"")</f>
        <v/>
      </c>
      <c r="D852" s="71"/>
      <c r="E852" s="71"/>
      <c r="F852" s="61" t="str">
        <f t="shared" si="3"/>
        <v/>
      </c>
      <c r="G852" s="71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69"/>
      <c r="C853" s="58" t="str">
        <f>IFERROR(VLOOKUP(B853 ,INVENTARIO!$B$2:C996,2,0),"")</f>
        <v/>
      </c>
      <c r="D853" s="71"/>
      <c r="E853" s="71"/>
      <c r="F853" s="61" t="str">
        <f t="shared" si="3"/>
        <v/>
      </c>
      <c r="G853" s="71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69"/>
      <c r="C854" s="58" t="str">
        <f>IFERROR(VLOOKUP(B854 ,INVENTARIO!$B$2:C996,2,0),"")</f>
        <v/>
      </c>
      <c r="D854" s="71"/>
      <c r="E854" s="71"/>
      <c r="F854" s="61" t="str">
        <f t="shared" si="3"/>
        <v/>
      </c>
      <c r="G854" s="71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69"/>
      <c r="C855" s="58" t="str">
        <f>IFERROR(VLOOKUP(B855 ,INVENTARIO!$B$2:C996,2,0),"")</f>
        <v/>
      </c>
      <c r="D855" s="71"/>
      <c r="E855" s="71"/>
      <c r="F855" s="61" t="str">
        <f t="shared" si="3"/>
        <v/>
      </c>
      <c r="G855" s="71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69"/>
      <c r="C856" s="58" t="str">
        <f>IFERROR(VLOOKUP(B856 ,INVENTARIO!$B$2:C996,2,0),"")</f>
        <v/>
      </c>
      <c r="D856" s="71"/>
      <c r="E856" s="71"/>
      <c r="F856" s="61" t="str">
        <f t="shared" si="3"/>
        <v/>
      </c>
      <c r="G856" s="71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69"/>
      <c r="C857" s="58" t="str">
        <f>IFERROR(VLOOKUP(B857 ,INVENTARIO!$B$2:C996,2,0),"")</f>
        <v/>
      </c>
      <c r="D857" s="71"/>
      <c r="E857" s="71"/>
      <c r="F857" s="61" t="str">
        <f t="shared" si="3"/>
        <v/>
      </c>
      <c r="G857" s="71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69"/>
      <c r="C858" s="58" t="str">
        <f>IFERROR(VLOOKUP(B858 ,INVENTARIO!$B$2:C996,2,0),"")</f>
        <v/>
      </c>
      <c r="D858" s="71"/>
      <c r="E858" s="71"/>
      <c r="F858" s="61" t="str">
        <f t="shared" si="3"/>
        <v/>
      </c>
      <c r="G858" s="71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69"/>
      <c r="C859" s="58" t="str">
        <f>IFERROR(VLOOKUP(B859 ,INVENTARIO!$B$2:C996,2,0),"")</f>
        <v/>
      </c>
      <c r="D859" s="71"/>
      <c r="E859" s="71"/>
      <c r="F859" s="61" t="str">
        <f t="shared" si="3"/>
        <v/>
      </c>
      <c r="G859" s="71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69"/>
      <c r="C860" s="58" t="str">
        <f>IFERROR(VLOOKUP(B860 ,INVENTARIO!$B$2:C996,2,0),"")</f>
        <v/>
      </c>
      <c r="D860" s="71"/>
      <c r="E860" s="71"/>
      <c r="F860" s="61" t="str">
        <f t="shared" si="3"/>
        <v/>
      </c>
      <c r="G860" s="71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69"/>
      <c r="C861" s="58" t="str">
        <f>IFERROR(VLOOKUP(B861 ,INVENTARIO!$B$2:C996,2,0),"")</f>
        <v/>
      </c>
      <c r="D861" s="71"/>
      <c r="E861" s="71"/>
      <c r="F861" s="61" t="str">
        <f t="shared" si="3"/>
        <v/>
      </c>
      <c r="G861" s="71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69"/>
      <c r="C862" s="58" t="str">
        <f>IFERROR(VLOOKUP(B862 ,INVENTARIO!$B$2:C996,2,0),"")</f>
        <v/>
      </c>
      <c r="D862" s="71"/>
      <c r="E862" s="71"/>
      <c r="F862" s="61" t="str">
        <f t="shared" si="3"/>
        <v/>
      </c>
      <c r="G862" s="71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69"/>
      <c r="C863" s="58" t="str">
        <f>IFERROR(VLOOKUP(B863 ,INVENTARIO!$B$2:C996,2,0),"")</f>
        <v/>
      </c>
      <c r="D863" s="71"/>
      <c r="E863" s="71"/>
      <c r="F863" s="61" t="str">
        <f t="shared" si="3"/>
        <v/>
      </c>
      <c r="G863" s="71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69"/>
      <c r="C864" s="58" t="str">
        <f>IFERROR(VLOOKUP(B864 ,INVENTARIO!$B$2:C996,2,0),"")</f>
        <v/>
      </c>
      <c r="D864" s="71"/>
      <c r="E864" s="71"/>
      <c r="F864" s="61" t="str">
        <f t="shared" si="3"/>
        <v/>
      </c>
      <c r="G864" s="71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69"/>
      <c r="C865" s="58" t="str">
        <f>IFERROR(VLOOKUP(B865 ,INVENTARIO!$B$2:C996,2,0),"")</f>
        <v/>
      </c>
      <c r="D865" s="71"/>
      <c r="E865" s="71"/>
      <c r="F865" s="61" t="str">
        <f t="shared" si="3"/>
        <v/>
      </c>
      <c r="G865" s="71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69"/>
      <c r="C866" s="58" t="str">
        <f>IFERROR(VLOOKUP(B866 ,INVENTARIO!$B$2:C996,2,0),"")</f>
        <v/>
      </c>
      <c r="D866" s="71"/>
      <c r="E866" s="71"/>
      <c r="F866" s="61" t="str">
        <f t="shared" si="3"/>
        <v/>
      </c>
      <c r="G866" s="71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69"/>
      <c r="C867" s="58" t="str">
        <f>IFERROR(VLOOKUP(B867 ,INVENTARIO!$B$2:C996,2,0),"")</f>
        <v/>
      </c>
      <c r="D867" s="71"/>
      <c r="E867" s="71"/>
      <c r="F867" s="61" t="str">
        <f t="shared" si="3"/>
        <v/>
      </c>
      <c r="G867" s="71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69"/>
      <c r="C868" s="58" t="str">
        <f>IFERROR(VLOOKUP(B868 ,INVENTARIO!$B$2:C996,2,0),"")</f>
        <v/>
      </c>
      <c r="D868" s="71"/>
      <c r="E868" s="71"/>
      <c r="F868" s="61" t="str">
        <f t="shared" si="3"/>
        <v/>
      </c>
      <c r="G868" s="71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69"/>
      <c r="C869" s="58" t="str">
        <f>IFERROR(VLOOKUP(B869 ,INVENTARIO!$B$2:C996,2,0),"")</f>
        <v/>
      </c>
      <c r="D869" s="71"/>
      <c r="E869" s="71"/>
      <c r="F869" s="61" t="str">
        <f t="shared" si="3"/>
        <v/>
      </c>
      <c r="G869" s="71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69"/>
      <c r="C870" s="58" t="str">
        <f>IFERROR(VLOOKUP(B870 ,INVENTARIO!$B$2:C996,2,0),"")</f>
        <v/>
      </c>
      <c r="D870" s="71"/>
      <c r="E870" s="71"/>
      <c r="F870" s="61" t="str">
        <f t="shared" si="3"/>
        <v/>
      </c>
      <c r="G870" s="71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69"/>
      <c r="C871" s="58" t="str">
        <f>IFERROR(VLOOKUP(B871 ,INVENTARIO!$B$2:C996,2,0),"")</f>
        <v/>
      </c>
      <c r="D871" s="71"/>
      <c r="E871" s="71"/>
      <c r="F871" s="61" t="str">
        <f t="shared" si="3"/>
        <v/>
      </c>
      <c r="G871" s="71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69"/>
      <c r="C872" s="58" t="str">
        <f>IFERROR(VLOOKUP(B872 ,INVENTARIO!$B$2:C996,2,0),"")</f>
        <v/>
      </c>
      <c r="D872" s="71"/>
      <c r="E872" s="71"/>
      <c r="F872" s="61" t="str">
        <f t="shared" si="3"/>
        <v/>
      </c>
      <c r="G872" s="71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69"/>
      <c r="C873" s="58" t="str">
        <f>IFERROR(VLOOKUP(B873 ,INVENTARIO!$B$2:C996,2,0),"")</f>
        <v/>
      </c>
      <c r="D873" s="71"/>
      <c r="E873" s="71"/>
      <c r="F873" s="61" t="str">
        <f t="shared" si="3"/>
        <v/>
      </c>
      <c r="G873" s="71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69"/>
      <c r="C874" s="58" t="str">
        <f>IFERROR(VLOOKUP(B874 ,INVENTARIO!$B$2:C996,2,0),"")</f>
        <v/>
      </c>
      <c r="D874" s="71"/>
      <c r="E874" s="71"/>
      <c r="F874" s="61" t="str">
        <f t="shared" si="3"/>
        <v/>
      </c>
      <c r="G874" s="71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69"/>
      <c r="C875" s="58" t="str">
        <f>IFERROR(VLOOKUP(B875 ,INVENTARIO!$B$2:C996,2,0),"")</f>
        <v/>
      </c>
      <c r="D875" s="71"/>
      <c r="E875" s="71"/>
      <c r="F875" s="61" t="str">
        <f t="shared" si="3"/>
        <v/>
      </c>
      <c r="G875" s="71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69"/>
      <c r="C876" s="58" t="str">
        <f>IFERROR(VLOOKUP(B876 ,INVENTARIO!$B$2:C996,2,0),"")</f>
        <v/>
      </c>
      <c r="D876" s="71"/>
      <c r="E876" s="71"/>
      <c r="F876" s="61" t="str">
        <f t="shared" si="3"/>
        <v/>
      </c>
      <c r="G876" s="71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69"/>
      <c r="C877" s="58" t="str">
        <f>IFERROR(VLOOKUP(B877 ,INVENTARIO!$B$2:C996,2,0),"")</f>
        <v/>
      </c>
      <c r="D877" s="71"/>
      <c r="E877" s="71"/>
      <c r="F877" s="61" t="str">
        <f t="shared" si="3"/>
        <v/>
      </c>
      <c r="G877" s="71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69"/>
      <c r="C878" s="58" t="str">
        <f>IFERROR(VLOOKUP(B878 ,INVENTARIO!$B$2:C996,2,0),"")</f>
        <v/>
      </c>
      <c r="D878" s="71"/>
      <c r="E878" s="71"/>
      <c r="F878" s="61" t="str">
        <f t="shared" si="3"/>
        <v/>
      </c>
      <c r="G878" s="71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69"/>
      <c r="C879" s="58" t="str">
        <f>IFERROR(VLOOKUP(B879 ,INVENTARIO!$B$2:C996,2,0),"")</f>
        <v/>
      </c>
      <c r="D879" s="71"/>
      <c r="E879" s="71"/>
      <c r="F879" s="61" t="str">
        <f t="shared" si="3"/>
        <v/>
      </c>
      <c r="G879" s="71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69"/>
      <c r="C880" s="58" t="str">
        <f>IFERROR(VLOOKUP(B880 ,INVENTARIO!$B$2:C996,2,0),"")</f>
        <v/>
      </c>
      <c r="D880" s="71"/>
      <c r="E880" s="71"/>
      <c r="F880" s="61" t="str">
        <f t="shared" si="3"/>
        <v/>
      </c>
      <c r="G880" s="71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69"/>
      <c r="C881" s="58" t="str">
        <f>IFERROR(VLOOKUP(B881 ,INVENTARIO!$B$2:C996,2,0),"")</f>
        <v/>
      </c>
      <c r="D881" s="71"/>
      <c r="E881" s="71"/>
      <c r="F881" s="61" t="str">
        <f t="shared" si="3"/>
        <v/>
      </c>
      <c r="G881" s="71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69"/>
      <c r="C882" s="58" t="str">
        <f>IFERROR(VLOOKUP(B882 ,INVENTARIO!$B$2:C996,2,0),"")</f>
        <v/>
      </c>
      <c r="D882" s="71"/>
      <c r="E882" s="71"/>
      <c r="F882" s="61" t="str">
        <f t="shared" si="3"/>
        <v/>
      </c>
      <c r="G882" s="71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69"/>
      <c r="C883" s="58" t="str">
        <f>IFERROR(VLOOKUP(B883 ,INVENTARIO!$B$2:C996,2,0),"")</f>
        <v/>
      </c>
      <c r="D883" s="71"/>
      <c r="E883" s="71"/>
      <c r="F883" s="61" t="str">
        <f t="shared" si="3"/>
        <v/>
      </c>
      <c r="G883" s="71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69"/>
      <c r="C884" s="58" t="str">
        <f>IFERROR(VLOOKUP(B884 ,INVENTARIO!$B$2:C996,2,0),"")</f>
        <v/>
      </c>
      <c r="D884" s="71"/>
      <c r="E884" s="71"/>
      <c r="F884" s="61" t="str">
        <f t="shared" si="3"/>
        <v/>
      </c>
      <c r="G884" s="71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69"/>
      <c r="C885" s="58" t="str">
        <f>IFERROR(VLOOKUP(B885 ,INVENTARIO!$B$2:C996,2,0),"")</f>
        <v/>
      </c>
      <c r="D885" s="71"/>
      <c r="E885" s="71"/>
      <c r="F885" s="61" t="str">
        <f t="shared" si="3"/>
        <v/>
      </c>
      <c r="G885" s="71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69"/>
      <c r="C886" s="58" t="str">
        <f>IFERROR(VLOOKUP(B886 ,INVENTARIO!$B$2:C996,2,0),"")</f>
        <v/>
      </c>
      <c r="D886" s="71"/>
      <c r="E886" s="71"/>
      <c r="F886" s="61" t="str">
        <f t="shared" si="3"/>
        <v/>
      </c>
      <c r="G886" s="71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69"/>
      <c r="C887" s="58" t="str">
        <f>IFERROR(VLOOKUP(B887 ,INVENTARIO!$B$2:C996,2,0),"")</f>
        <v/>
      </c>
      <c r="D887" s="71"/>
      <c r="E887" s="71"/>
      <c r="F887" s="61" t="str">
        <f t="shared" si="3"/>
        <v/>
      </c>
      <c r="G887" s="71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69"/>
      <c r="C888" s="58" t="str">
        <f>IFERROR(VLOOKUP(B888 ,INVENTARIO!$B$2:C996,2,0),"")</f>
        <v/>
      </c>
      <c r="D888" s="71"/>
      <c r="E888" s="71"/>
      <c r="F888" s="61" t="str">
        <f t="shared" si="3"/>
        <v/>
      </c>
      <c r="G888" s="71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69"/>
      <c r="C889" s="58" t="str">
        <f>IFERROR(VLOOKUP(B889 ,INVENTARIO!$B$2:C996,2,0),"")</f>
        <v/>
      </c>
      <c r="D889" s="71"/>
      <c r="E889" s="71"/>
      <c r="F889" s="61" t="str">
        <f t="shared" si="3"/>
        <v/>
      </c>
      <c r="G889" s="71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69"/>
      <c r="C890" s="58" t="str">
        <f>IFERROR(VLOOKUP(B890 ,INVENTARIO!$B$2:C996,2,0),"")</f>
        <v/>
      </c>
      <c r="D890" s="71"/>
      <c r="E890" s="71"/>
      <c r="F890" s="61" t="str">
        <f t="shared" si="3"/>
        <v/>
      </c>
      <c r="G890" s="71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69"/>
      <c r="C891" s="58" t="str">
        <f>IFERROR(VLOOKUP(B891 ,INVENTARIO!$B$2:C996,2,0),"")</f>
        <v/>
      </c>
      <c r="D891" s="71"/>
      <c r="E891" s="71"/>
      <c r="F891" s="61" t="str">
        <f t="shared" si="3"/>
        <v/>
      </c>
      <c r="G891" s="71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69"/>
      <c r="C892" s="58" t="str">
        <f>IFERROR(VLOOKUP(B892 ,INVENTARIO!$B$2:C996,2,0),"")</f>
        <v/>
      </c>
      <c r="D892" s="71"/>
      <c r="E892" s="71"/>
      <c r="F892" s="61" t="str">
        <f t="shared" si="3"/>
        <v/>
      </c>
      <c r="G892" s="71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69"/>
      <c r="C893" s="58" t="str">
        <f>IFERROR(VLOOKUP(B893 ,INVENTARIO!$B$2:C996,2,0),"")</f>
        <v/>
      </c>
      <c r="D893" s="71"/>
      <c r="E893" s="71"/>
      <c r="F893" s="61" t="str">
        <f t="shared" si="3"/>
        <v/>
      </c>
      <c r="G893" s="71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69"/>
      <c r="C894" s="58" t="str">
        <f>IFERROR(VLOOKUP(B894 ,INVENTARIO!$B$2:C996,2,0),"")</f>
        <v/>
      </c>
      <c r="D894" s="71"/>
      <c r="E894" s="71"/>
      <c r="F894" s="61" t="str">
        <f t="shared" si="3"/>
        <v/>
      </c>
      <c r="G894" s="71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69"/>
      <c r="C895" s="58" t="str">
        <f>IFERROR(VLOOKUP(B895 ,INVENTARIO!$B$2:C996,2,0),"")</f>
        <v/>
      </c>
      <c r="D895" s="71"/>
      <c r="E895" s="71"/>
      <c r="F895" s="61" t="str">
        <f t="shared" si="3"/>
        <v/>
      </c>
      <c r="G895" s="71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69"/>
      <c r="C896" s="58" t="str">
        <f>IFERROR(VLOOKUP(B896 ,INVENTARIO!$B$2:C996,2,0),"")</f>
        <v/>
      </c>
      <c r="D896" s="71"/>
      <c r="E896" s="71"/>
      <c r="F896" s="61" t="str">
        <f t="shared" si="3"/>
        <v/>
      </c>
      <c r="G896" s="71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69"/>
      <c r="C897" s="58" t="str">
        <f>IFERROR(VLOOKUP(B897 ,INVENTARIO!$B$2:C996,2,0),"")</f>
        <v/>
      </c>
      <c r="D897" s="71"/>
      <c r="E897" s="71"/>
      <c r="F897" s="61" t="str">
        <f t="shared" si="3"/>
        <v/>
      </c>
      <c r="G897" s="71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69"/>
      <c r="C898" s="58" t="str">
        <f>IFERROR(VLOOKUP(B898 ,INVENTARIO!$B$2:C996,2,0),"")</f>
        <v/>
      </c>
      <c r="D898" s="71"/>
      <c r="E898" s="71"/>
      <c r="F898" s="61" t="str">
        <f t="shared" si="3"/>
        <v/>
      </c>
      <c r="G898" s="71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69"/>
      <c r="C899" s="58" t="str">
        <f>IFERROR(VLOOKUP(B899 ,INVENTARIO!$B$2:C996,2,0),"")</f>
        <v/>
      </c>
      <c r="D899" s="71"/>
      <c r="E899" s="71"/>
      <c r="F899" s="61" t="str">
        <f t="shared" si="3"/>
        <v/>
      </c>
      <c r="G899" s="71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69"/>
      <c r="C900" s="58" t="str">
        <f>IFERROR(VLOOKUP(B900 ,INVENTARIO!$B$2:C996,2,0),"")</f>
        <v/>
      </c>
      <c r="D900" s="71"/>
      <c r="E900" s="71"/>
      <c r="F900" s="61" t="str">
        <f t="shared" si="3"/>
        <v/>
      </c>
      <c r="G900" s="71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69"/>
      <c r="C901" s="58" t="str">
        <f>IFERROR(VLOOKUP(B901 ,INVENTARIO!$B$2:C996,2,0),"")</f>
        <v/>
      </c>
      <c r="D901" s="71"/>
      <c r="E901" s="71"/>
      <c r="F901" s="61" t="str">
        <f t="shared" si="3"/>
        <v/>
      </c>
      <c r="G901" s="71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69"/>
      <c r="C902" s="58" t="str">
        <f>IFERROR(VLOOKUP(B902 ,INVENTARIO!$B$2:C996,2,0),"")</f>
        <v/>
      </c>
      <c r="D902" s="71"/>
      <c r="E902" s="71"/>
      <c r="F902" s="61" t="str">
        <f t="shared" si="3"/>
        <v/>
      </c>
      <c r="G902" s="71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69"/>
      <c r="C903" s="58" t="str">
        <f>IFERROR(VLOOKUP(B903 ,INVENTARIO!$B$2:C996,2,0),"")</f>
        <v/>
      </c>
      <c r="D903" s="71"/>
      <c r="E903" s="71"/>
      <c r="F903" s="61" t="str">
        <f t="shared" si="3"/>
        <v/>
      </c>
      <c r="G903" s="71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69"/>
      <c r="C904" s="58" t="str">
        <f>IFERROR(VLOOKUP(B904 ,INVENTARIO!$B$2:C996,2,0),"")</f>
        <v/>
      </c>
      <c r="D904" s="71"/>
      <c r="E904" s="71"/>
      <c r="F904" s="61" t="str">
        <f t="shared" si="3"/>
        <v/>
      </c>
      <c r="G904" s="71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69"/>
      <c r="C905" s="58" t="str">
        <f>IFERROR(VLOOKUP(B905 ,INVENTARIO!$B$2:C996,2,0),"")</f>
        <v/>
      </c>
      <c r="D905" s="71"/>
      <c r="E905" s="71"/>
      <c r="F905" s="61" t="str">
        <f t="shared" si="3"/>
        <v/>
      </c>
      <c r="G905" s="71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69"/>
      <c r="C906" s="58" t="str">
        <f>IFERROR(VLOOKUP(B906 ,INVENTARIO!$B$2:C996,2,0),"")</f>
        <v/>
      </c>
      <c r="D906" s="71"/>
      <c r="E906" s="71"/>
      <c r="F906" s="61" t="str">
        <f t="shared" si="3"/>
        <v/>
      </c>
      <c r="G906" s="71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69"/>
      <c r="C907" s="58" t="str">
        <f>IFERROR(VLOOKUP(B907 ,INVENTARIO!$B$2:C996,2,0),"")</f>
        <v/>
      </c>
      <c r="D907" s="71"/>
      <c r="E907" s="71"/>
      <c r="F907" s="61" t="str">
        <f t="shared" si="3"/>
        <v/>
      </c>
      <c r="G907" s="71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69"/>
      <c r="C908" s="58" t="str">
        <f>IFERROR(VLOOKUP(B908 ,INVENTARIO!$B$2:C996,2,0),"")</f>
        <v/>
      </c>
      <c r="D908" s="71"/>
      <c r="E908" s="71"/>
      <c r="F908" s="61" t="str">
        <f t="shared" si="3"/>
        <v/>
      </c>
      <c r="G908" s="71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69"/>
      <c r="C909" s="58" t="str">
        <f>IFERROR(VLOOKUP(B909 ,INVENTARIO!$B$2:C996,2,0),"")</f>
        <v/>
      </c>
      <c r="D909" s="71"/>
      <c r="E909" s="71"/>
      <c r="F909" s="61" t="str">
        <f t="shared" si="3"/>
        <v/>
      </c>
      <c r="G909" s="71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69"/>
      <c r="C910" s="58" t="str">
        <f>IFERROR(VLOOKUP(B910 ,INVENTARIO!$B$2:C996,2,0),"")</f>
        <v/>
      </c>
      <c r="D910" s="71"/>
      <c r="E910" s="71"/>
      <c r="F910" s="61" t="str">
        <f t="shared" si="3"/>
        <v/>
      </c>
      <c r="G910" s="71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69"/>
      <c r="C911" s="58" t="str">
        <f>IFERROR(VLOOKUP(B911 ,INVENTARIO!$B$2:C996,2,0),"")</f>
        <v/>
      </c>
      <c r="D911" s="71"/>
      <c r="E911" s="71"/>
      <c r="F911" s="61" t="str">
        <f t="shared" si="3"/>
        <v/>
      </c>
      <c r="G911" s="71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69"/>
      <c r="C912" s="58" t="str">
        <f>IFERROR(VLOOKUP(B912 ,INVENTARIO!$B$2:C996,2,0),"")</f>
        <v/>
      </c>
      <c r="D912" s="71"/>
      <c r="E912" s="71"/>
      <c r="F912" s="61" t="str">
        <f t="shared" si="3"/>
        <v/>
      </c>
      <c r="G912" s="71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69"/>
      <c r="C913" s="58" t="str">
        <f>IFERROR(VLOOKUP(B913 ,INVENTARIO!$B$2:C996,2,0),"")</f>
        <v/>
      </c>
      <c r="D913" s="71"/>
      <c r="E913" s="71"/>
      <c r="F913" s="61" t="str">
        <f t="shared" si="3"/>
        <v/>
      </c>
      <c r="G913" s="71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69"/>
      <c r="C914" s="58" t="str">
        <f>IFERROR(VLOOKUP(B914 ,INVENTARIO!$B$2:C996,2,0),"")</f>
        <v/>
      </c>
      <c r="D914" s="71"/>
      <c r="E914" s="71"/>
      <c r="F914" s="61" t="str">
        <f t="shared" si="3"/>
        <v/>
      </c>
      <c r="G914" s="71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69"/>
      <c r="C915" s="58" t="str">
        <f>IFERROR(VLOOKUP(B915 ,INVENTARIO!$B$2:C996,2,0),"")</f>
        <v/>
      </c>
      <c r="D915" s="71"/>
      <c r="E915" s="71"/>
      <c r="F915" s="61" t="str">
        <f t="shared" si="3"/>
        <v/>
      </c>
      <c r="G915" s="71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69"/>
      <c r="C916" s="58" t="str">
        <f>IFERROR(VLOOKUP(B916 ,INVENTARIO!$B$2:C996,2,0),"")</f>
        <v/>
      </c>
      <c r="D916" s="71"/>
      <c r="E916" s="71"/>
      <c r="F916" s="61" t="str">
        <f t="shared" si="3"/>
        <v/>
      </c>
      <c r="G916" s="71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69"/>
      <c r="C917" s="58" t="str">
        <f>IFERROR(VLOOKUP(B917 ,INVENTARIO!$B$2:C996,2,0),"")</f>
        <v/>
      </c>
      <c r="D917" s="71"/>
      <c r="E917" s="71"/>
      <c r="F917" s="61" t="str">
        <f t="shared" si="3"/>
        <v/>
      </c>
      <c r="G917" s="71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69"/>
      <c r="C918" s="58" t="str">
        <f>IFERROR(VLOOKUP(B918 ,INVENTARIO!$B$2:C996,2,0),"")</f>
        <v/>
      </c>
      <c r="D918" s="71"/>
      <c r="E918" s="71"/>
      <c r="F918" s="61" t="str">
        <f t="shared" si="3"/>
        <v/>
      </c>
      <c r="G918" s="71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69"/>
      <c r="C919" s="58" t="str">
        <f>IFERROR(VLOOKUP(B919 ,INVENTARIO!$B$2:C996,2,0),"")</f>
        <v/>
      </c>
      <c r="D919" s="71"/>
      <c r="E919" s="71"/>
      <c r="F919" s="61" t="str">
        <f t="shared" si="3"/>
        <v/>
      </c>
      <c r="G919" s="71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69"/>
      <c r="C920" s="58" t="str">
        <f>IFERROR(VLOOKUP(B920 ,INVENTARIO!$B$2:C996,2,0),"")</f>
        <v/>
      </c>
      <c r="D920" s="71"/>
      <c r="E920" s="71"/>
      <c r="F920" s="61" t="str">
        <f t="shared" si="3"/>
        <v/>
      </c>
      <c r="G920" s="71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69"/>
      <c r="C921" s="58" t="str">
        <f>IFERROR(VLOOKUP(B921 ,INVENTARIO!$B$2:C996,2,0),"")</f>
        <v/>
      </c>
      <c r="D921" s="71"/>
      <c r="E921" s="71"/>
      <c r="F921" s="61" t="str">
        <f t="shared" si="3"/>
        <v/>
      </c>
      <c r="G921" s="71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69"/>
      <c r="C922" s="58" t="str">
        <f>IFERROR(VLOOKUP(B922 ,INVENTARIO!$B$2:C996,2,0),"")</f>
        <v/>
      </c>
      <c r="D922" s="71"/>
      <c r="E922" s="71"/>
      <c r="F922" s="61" t="str">
        <f t="shared" si="3"/>
        <v/>
      </c>
      <c r="G922" s="71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69"/>
      <c r="C923" s="58" t="str">
        <f>IFERROR(VLOOKUP(B923 ,INVENTARIO!$B$2:C996,2,0),"")</f>
        <v/>
      </c>
      <c r="D923" s="71"/>
      <c r="E923" s="71"/>
      <c r="F923" s="61" t="str">
        <f t="shared" si="3"/>
        <v/>
      </c>
      <c r="G923" s="71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69"/>
      <c r="C924" s="58" t="str">
        <f>IFERROR(VLOOKUP(B924 ,INVENTARIO!$B$2:C996,2,0),"")</f>
        <v/>
      </c>
      <c r="D924" s="71"/>
      <c r="E924" s="71"/>
      <c r="F924" s="61" t="str">
        <f t="shared" si="3"/>
        <v/>
      </c>
      <c r="G924" s="71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69"/>
      <c r="C925" s="58" t="str">
        <f>IFERROR(VLOOKUP(B925 ,INVENTARIO!$B$2:C996,2,0),"")</f>
        <v/>
      </c>
      <c r="D925" s="71"/>
      <c r="E925" s="71"/>
      <c r="F925" s="61" t="str">
        <f t="shared" si="3"/>
        <v/>
      </c>
      <c r="G925" s="71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69"/>
      <c r="C926" s="58" t="str">
        <f>IFERROR(VLOOKUP(B926 ,INVENTARIO!$B$2:C996,2,0),"")</f>
        <v/>
      </c>
      <c r="D926" s="71"/>
      <c r="E926" s="71"/>
      <c r="F926" s="61" t="str">
        <f t="shared" si="3"/>
        <v/>
      </c>
      <c r="G926" s="71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69"/>
      <c r="C927" s="58" t="str">
        <f>IFERROR(VLOOKUP(B927 ,INVENTARIO!$B$2:C996,2,0),"")</f>
        <v/>
      </c>
      <c r="D927" s="71"/>
      <c r="E927" s="71"/>
      <c r="F927" s="61" t="str">
        <f t="shared" si="3"/>
        <v/>
      </c>
      <c r="G927" s="71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69"/>
      <c r="C928" s="58" t="str">
        <f>IFERROR(VLOOKUP(B928 ,INVENTARIO!$B$2:C996,2,0),"")</f>
        <v/>
      </c>
      <c r="D928" s="71"/>
      <c r="E928" s="71"/>
      <c r="F928" s="61" t="str">
        <f t="shared" si="3"/>
        <v/>
      </c>
      <c r="G928" s="71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69"/>
      <c r="C929" s="58" t="str">
        <f>IFERROR(VLOOKUP(B929 ,INVENTARIO!$B$2:C996,2,0),"")</f>
        <v/>
      </c>
      <c r="D929" s="71"/>
      <c r="E929" s="71"/>
      <c r="F929" s="61" t="str">
        <f t="shared" si="3"/>
        <v/>
      </c>
      <c r="G929" s="71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69"/>
      <c r="C930" s="58" t="str">
        <f>IFERROR(VLOOKUP(B930 ,INVENTARIO!$B$2:C996,2,0),"")</f>
        <v/>
      </c>
      <c r="D930" s="71"/>
      <c r="E930" s="71"/>
      <c r="F930" s="61" t="str">
        <f t="shared" si="3"/>
        <v/>
      </c>
      <c r="G930" s="71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69"/>
      <c r="C931" s="58" t="str">
        <f>IFERROR(VLOOKUP(B931 ,INVENTARIO!$B$2:C996,2,0),"")</f>
        <v/>
      </c>
      <c r="D931" s="71"/>
      <c r="E931" s="71"/>
      <c r="F931" s="61" t="str">
        <f t="shared" si="3"/>
        <v/>
      </c>
      <c r="G931" s="71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69"/>
      <c r="C932" s="58" t="str">
        <f>IFERROR(VLOOKUP(B932 ,INVENTARIO!$B$2:C996,2,0),"")</f>
        <v/>
      </c>
      <c r="D932" s="71"/>
      <c r="E932" s="71"/>
      <c r="F932" s="61" t="str">
        <f t="shared" si="3"/>
        <v/>
      </c>
      <c r="G932" s="71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69"/>
      <c r="C933" s="58" t="str">
        <f>IFERROR(VLOOKUP(B933 ,INVENTARIO!$B$2:C996,2,0),"")</f>
        <v/>
      </c>
      <c r="D933" s="71"/>
      <c r="E933" s="71"/>
      <c r="F933" s="61" t="str">
        <f t="shared" si="3"/>
        <v/>
      </c>
      <c r="G933" s="71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69"/>
      <c r="C934" s="58" t="str">
        <f>IFERROR(VLOOKUP(B934 ,INVENTARIO!$B$2:C996,2,0),"")</f>
        <v/>
      </c>
      <c r="D934" s="71"/>
      <c r="E934" s="71"/>
      <c r="F934" s="61" t="str">
        <f t="shared" si="3"/>
        <v/>
      </c>
      <c r="G934" s="71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69"/>
      <c r="C935" s="58" t="str">
        <f>IFERROR(VLOOKUP(B935 ,INVENTARIO!$B$2:C996,2,0),"")</f>
        <v/>
      </c>
      <c r="D935" s="71"/>
      <c r="E935" s="71"/>
      <c r="F935" s="61" t="str">
        <f t="shared" si="3"/>
        <v/>
      </c>
      <c r="G935" s="71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69"/>
      <c r="C936" s="58" t="str">
        <f>IFERROR(VLOOKUP(B936 ,INVENTARIO!$B$2:C996,2,0),"")</f>
        <v/>
      </c>
      <c r="D936" s="71"/>
      <c r="E936" s="71"/>
      <c r="F936" s="61" t="str">
        <f t="shared" si="3"/>
        <v/>
      </c>
      <c r="G936" s="71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69"/>
      <c r="C937" s="58" t="str">
        <f>IFERROR(VLOOKUP(B937 ,INVENTARIO!$B$2:C996,2,0),"")</f>
        <v/>
      </c>
      <c r="D937" s="71"/>
      <c r="E937" s="71"/>
      <c r="F937" s="61" t="str">
        <f t="shared" si="3"/>
        <v/>
      </c>
      <c r="G937" s="71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69"/>
      <c r="C938" s="58" t="str">
        <f>IFERROR(VLOOKUP(B938 ,INVENTARIO!$B$2:C996,2,0),"")</f>
        <v/>
      </c>
      <c r="D938" s="71"/>
      <c r="E938" s="71"/>
      <c r="F938" s="61" t="str">
        <f t="shared" si="3"/>
        <v/>
      </c>
      <c r="G938" s="71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69"/>
      <c r="C939" s="58" t="str">
        <f>IFERROR(VLOOKUP(B939 ,INVENTARIO!$B$2:C996,2,0),"")</f>
        <v/>
      </c>
      <c r="D939" s="71"/>
      <c r="E939" s="71"/>
      <c r="F939" s="61" t="str">
        <f t="shared" si="3"/>
        <v/>
      </c>
      <c r="G939" s="71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69"/>
      <c r="C940" s="58" t="str">
        <f>IFERROR(VLOOKUP(B940 ,INVENTARIO!$B$2:C996,2,0),"")</f>
        <v/>
      </c>
      <c r="D940" s="71"/>
      <c r="E940" s="71"/>
      <c r="F940" s="61" t="str">
        <f t="shared" si="3"/>
        <v/>
      </c>
      <c r="G940" s="71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69"/>
      <c r="C941" s="58" t="str">
        <f>IFERROR(VLOOKUP(B941 ,INVENTARIO!$B$2:C996,2,0),"")</f>
        <v/>
      </c>
      <c r="D941" s="71"/>
      <c r="E941" s="71"/>
      <c r="F941" s="61" t="str">
        <f t="shared" si="3"/>
        <v/>
      </c>
      <c r="G941" s="71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69"/>
      <c r="C942" s="58" t="str">
        <f>IFERROR(VLOOKUP(B942 ,INVENTARIO!$B$2:C996,2,0),"")</f>
        <v/>
      </c>
      <c r="D942" s="71"/>
      <c r="E942" s="71"/>
      <c r="F942" s="61" t="str">
        <f t="shared" si="3"/>
        <v/>
      </c>
      <c r="G942" s="71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69"/>
      <c r="C943" s="58" t="str">
        <f>IFERROR(VLOOKUP(B943 ,INVENTARIO!$B$2:C996,2,0),"")</f>
        <v/>
      </c>
      <c r="D943" s="71"/>
      <c r="E943" s="71"/>
      <c r="F943" s="61" t="str">
        <f t="shared" si="3"/>
        <v/>
      </c>
      <c r="G943" s="71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69"/>
      <c r="C944" s="58" t="str">
        <f>IFERROR(VLOOKUP(B944 ,INVENTARIO!$B$2:C996,2,0),"")</f>
        <v/>
      </c>
      <c r="D944" s="71"/>
      <c r="E944" s="71"/>
      <c r="F944" s="61" t="str">
        <f t="shared" si="3"/>
        <v/>
      </c>
      <c r="G944" s="71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69"/>
      <c r="C945" s="58" t="str">
        <f>IFERROR(VLOOKUP(B945 ,INVENTARIO!$B$2:C996,2,0),"")</f>
        <v/>
      </c>
      <c r="D945" s="71"/>
      <c r="E945" s="71"/>
      <c r="F945" s="61" t="str">
        <f t="shared" si="3"/>
        <v/>
      </c>
      <c r="G945" s="71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69"/>
      <c r="C946" s="58" t="str">
        <f>IFERROR(VLOOKUP(B946 ,INVENTARIO!$B$2:C996,2,0),"")</f>
        <v/>
      </c>
      <c r="D946" s="71"/>
      <c r="E946" s="71"/>
      <c r="F946" s="61" t="str">
        <f t="shared" si="3"/>
        <v/>
      </c>
      <c r="G946" s="71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69"/>
      <c r="C947" s="58" t="str">
        <f>IFERROR(VLOOKUP(B947 ,INVENTARIO!$B$2:C996,2,0),"")</f>
        <v/>
      </c>
      <c r="D947" s="71"/>
      <c r="E947" s="71"/>
      <c r="F947" s="61" t="str">
        <f t="shared" si="3"/>
        <v/>
      </c>
      <c r="G947" s="71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69"/>
      <c r="C948" s="58" t="str">
        <f>IFERROR(VLOOKUP(B948 ,INVENTARIO!$B$2:C996,2,0),"")</f>
        <v/>
      </c>
      <c r="D948" s="71"/>
      <c r="E948" s="71"/>
      <c r="F948" s="61" t="str">
        <f t="shared" si="3"/>
        <v/>
      </c>
      <c r="G948" s="71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69"/>
      <c r="C949" s="58" t="str">
        <f>IFERROR(VLOOKUP(B949 ,INVENTARIO!$B$2:C996,2,0),"")</f>
        <v/>
      </c>
      <c r="D949" s="71"/>
      <c r="E949" s="71"/>
      <c r="F949" s="61" t="str">
        <f t="shared" si="3"/>
        <v/>
      </c>
      <c r="G949" s="71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69"/>
      <c r="C950" s="58" t="str">
        <f>IFERROR(VLOOKUP(B950 ,INVENTARIO!$B$2:C996,2,0),"")</f>
        <v/>
      </c>
      <c r="D950" s="71"/>
      <c r="E950" s="71"/>
      <c r="F950" s="61" t="str">
        <f t="shared" si="3"/>
        <v/>
      </c>
      <c r="G950" s="71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69"/>
      <c r="C951" s="58" t="str">
        <f>IFERROR(VLOOKUP(B951 ,INVENTARIO!$B$2:C996,2,0),"")</f>
        <v/>
      </c>
      <c r="D951" s="71"/>
      <c r="E951" s="71"/>
      <c r="F951" s="61" t="str">
        <f t="shared" si="3"/>
        <v/>
      </c>
      <c r="G951" s="71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69"/>
      <c r="C952" s="58" t="str">
        <f>IFERROR(VLOOKUP(B952 ,INVENTARIO!$B$2:C996,2,0),"")</f>
        <v/>
      </c>
      <c r="D952" s="71"/>
      <c r="E952" s="71"/>
      <c r="F952" s="61" t="str">
        <f t="shared" si="3"/>
        <v/>
      </c>
      <c r="G952" s="71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69"/>
      <c r="C953" s="58" t="str">
        <f>IFERROR(VLOOKUP(B953 ,INVENTARIO!$B$2:C996,2,0),"")</f>
        <v/>
      </c>
      <c r="D953" s="71"/>
      <c r="E953" s="71"/>
      <c r="F953" s="61" t="str">
        <f t="shared" si="3"/>
        <v/>
      </c>
      <c r="G953" s="71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69"/>
      <c r="C954" s="58" t="str">
        <f>IFERROR(VLOOKUP(B954 ,INVENTARIO!$B$2:C996,2,0),"")</f>
        <v/>
      </c>
      <c r="D954" s="71"/>
      <c r="E954" s="71"/>
      <c r="F954" s="61" t="str">
        <f t="shared" si="3"/>
        <v/>
      </c>
      <c r="G954" s="71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69"/>
      <c r="C955" s="58" t="str">
        <f>IFERROR(VLOOKUP(B955 ,INVENTARIO!$B$2:C996,2,0),"")</f>
        <v/>
      </c>
      <c r="D955" s="71"/>
      <c r="E955" s="71"/>
      <c r="F955" s="61" t="str">
        <f t="shared" si="3"/>
        <v/>
      </c>
      <c r="G955" s="71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69"/>
      <c r="C956" s="58" t="str">
        <f>IFERROR(VLOOKUP(B956 ,INVENTARIO!$B$2:C996,2,0),"")</f>
        <v/>
      </c>
      <c r="D956" s="71"/>
      <c r="E956" s="71"/>
      <c r="F956" s="61" t="str">
        <f t="shared" si="3"/>
        <v/>
      </c>
      <c r="G956" s="71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69"/>
      <c r="C957" s="58" t="str">
        <f>IFERROR(VLOOKUP(B957 ,INVENTARIO!$B$2:C996,2,0),"")</f>
        <v/>
      </c>
      <c r="D957" s="71"/>
      <c r="E957" s="71"/>
      <c r="F957" s="61" t="str">
        <f t="shared" si="3"/>
        <v/>
      </c>
      <c r="G957" s="71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69"/>
      <c r="C958" s="58" t="str">
        <f>IFERROR(VLOOKUP(B958 ,INVENTARIO!$B$2:C996,2,0),"")</f>
        <v/>
      </c>
      <c r="D958" s="71"/>
      <c r="E958" s="71"/>
      <c r="F958" s="61" t="str">
        <f t="shared" si="3"/>
        <v/>
      </c>
      <c r="G958" s="71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69"/>
      <c r="C959" s="58" t="str">
        <f>IFERROR(VLOOKUP(B959 ,INVENTARIO!$B$2:C996,2,0),"")</f>
        <v/>
      </c>
      <c r="D959" s="71"/>
      <c r="E959" s="71"/>
      <c r="F959" s="61" t="str">
        <f t="shared" si="3"/>
        <v/>
      </c>
      <c r="G959" s="71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69"/>
      <c r="C960" s="58" t="str">
        <f>IFERROR(VLOOKUP(B960 ,INVENTARIO!$B$2:C996,2,0),"")</f>
        <v/>
      </c>
      <c r="D960" s="71"/>
      <c r="E960" s="71"/>
      <c r="F960" s="61" t="str">
        <f t="shared" si="3"/>
        <v/>
      </c>
      <c r="G960" s="71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69"/>
      <c r="C961" s="58" t="str">
        <f>IFERROR(VLOOKUP(B961 ,INVENTARIO!$B$2:C996,2,0),"")</f>
        <v/>
      </c>
      <c r="D961" s="71"/>
      <c r="E961" s="71"/>
      <c r="F961" s="61" t="str">
        <f t="shared" si="3"/>
        <v/>
      </c>
      <c r="G961" s="71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69"/>
      <c r="C962" s="58" t="str">
        <f>IFERROR(VLOOKUP(B962 ,INVENTARIO!$B$2:C996,2,0),"")</f>
        <v/>
      </c>
      <c r="D962" s="71"/>
      <c r="E962" s="71"/>
      <c r="F962" s="61" t="str">
        <f t="shared" si="3"/>
        <v/>
      </c>
      <c r="G962" s="71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69"/>
      <c r="C963" s="58" t="str">
        <f>IFERROR(VLOOKUP(B963 ,INVENTARIO!$B$2:C996,2,0),"")</f>
        <v/>
      </c>
      <c r="D963" s="71"/>
      <c r="E963" s="71"/>
      <c r="F963" s="61" t="str">
        <f t="shared" si="3"/>
        <v/>
      </c>
      <c r="G963" s="71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69"/>
      <c r="C964" s="58" t="str">
        <f>IFERROR(VLOOKUP(B964 ,INVENTARIO!$B$2:C996,2,0),"")</f>
        <v/>
      </c>
      <c r="D964" s="71"/>
      <c r="E964" s="71"/>
      <c r="F964" s="61" t="str">
        <f t="shared" si="3"/>
        <v/>
      </c>
      <c r="G964" s="71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69"/>
      <c r="C965" s="58" t="str">
        <f>IFERROR(VLOOKUP(B965 ,INVENTARIO!$B$2:C996,2,0),"")</f>
        <v/>
      </c>
      <c r="D965" s="71"/>
      <c r="E965" s="71"/>
      <c r="F965" s="61" t="str">
        <f t="shared" si="3"/>
        <v/>
      </c>
      <c r="G965" s="71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69"/>
      <c r="C966" s="58" t="str">
        <f>IFERROR(VLOOKUP(B966 ,INVENTARIO!$B$2:C996,2,0),"")</f>
        <v/>
      </c>
      <c r="D966" s="71"/>
      <c r="E966" s="71"/>
      <c r="F966" s="61" t="str">
        <f t="shared" si="3"/>
        <v/>
      </c>
      <c r="G966" s="71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69"/>
      <c r="C967" s="58" t="str">
        <f>IFERROR(VLOOKUP(B967 ,INVENTARIO!$B$2:C996,2,0),"")</f>
        <v/>
      </c>
      <c r="D967" s="71"/>
      <c r="E967" s="71"/>
      <c r="F967" s="61" t="str">
        <f t="shared" si="3"/>
        <v/>
      </c>
      <c r="G967" s="71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69"/>
      <c r="C968" s="58" t="str">
        <f>IFERROR(VLOOKUP(B968 ,INVENTARIO!$B$2:C996,2,0),"")</f>
        <v/>
      </c>
      <c r="D968" s="71"/>
      <c r="E968" s="71"/>
      <c r="F968" s="61" t="str">
        <f t="shared" si="3"/>
        <v/>
      </c>
      <c r="G968" s="71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69"/>
      <c r="C969" s="58" t="str">
        <f>IFERROR(VLOOKUP(B969 ,INVENTARIO!$B$2:C996,2,0),"")</f>
        <v/>
      </c>
      <c r="D969" s="71"/>
      <c r="E969" s="71"/>
      <c r="F969" s="61" t="str">
        <f t="shared" si="3"/>
        <v/>
      </c>
      <c r="G969" s="71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69"/>
      <c r="C970" s="58" t="str">
        <f>IFERROR(VLOOKUP(B970 ,INVENTARIO!$B$2:C996,2,0),"")</f>
        <v/>
      </c>
      <c r="D970" s="71"/>
      <c r="E970" s="71"/>
      <c r="F970" s="61" t="str">
        <f t="shared" si="3"/>
        <v/>
      </c>
      <c r="G970" s="71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69"/>
      <c r="C971" s="58" t="str">
        <f>IFERROR(VLOOKUP(B971 ,INVENTARIO!$B$2:C996,2,0),"")</f>
        <v/>
      </c>
      <c r="D971" s="71"/>
      <c r="E971" s="71"/>
      <c r="F971" s="61" t="str">
        <f t="shared" si="3"/>
        <v/>
      </c>
      <c r="G971" s="71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69"/>
      <c r="C972" s="58" t="str">
        <f>IFERROR(VLOOKUP(B972 ,INVENTARIO!$B$2:C996,2,0),"")</f>
        <v/>
      </c>
      <c r="D972" s="71"/>
      <c r="E972" s="71"/>
      <c r="F972" s="61" t="str">
        <f t="shared" si="3"/>
        <v/>
      </c>
      <c r="G972" s="71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69"/>
      <c r="C973" s="58" t="str">
        <f>IFERROR(VLOOKUP(B973 ,INVENTARIO!$B$2:C996,2,0),"")</f>
        <v/>
      </c>
      <c r="D973" s="71"/>
      <c r="E973" s="71"/>
      <c r="F973" s="61" t="str">
        <f t="shared" si="3"/>
        <v/>
      </c>
      <c r="G973" s="71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69"/>
      <c r="C974" s="58" t="str">
        <f>IFERROR(VLOOKUP(B974 ,INVENTARIO!$B$2:C996,2,0),"")</f>
        <v/>
      </c>
      <c r="D974" s="71"/>
      <c r="E974" s="71"/>
      <c r="F974" s="61" t="str">
        <f t="shared" si="3"/>
        <v/>
      </c>
      <c r="G974" s="71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69"/>
      <c r="C975" s="58" t="str">
        <f>IFERROR(VLOOKUP(B975 ,INVENTARIO!$B$2:C996,2,0),"")</f>
        <v/>
      </c>
      <c r="D975" s="71"/>
      <c r="E975" s="71"/>
      <c r="F975" s="61" t="str">
        <f t="shared" si="3"/>
        <v/>
      </c>
      <c r="G975" s="71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69"/>
      <c r="C976" s="58" t="str">
        <f>IFERROR(VLOOKUP(B976 ,INVENTARIO!$B$2:C996,2,0),"")</f>
        <v/>
      </c>
      <c r="D976" s="71"/>
      <c r="E976" s="71"/>
      <c r="F976" s="61" t="str">
        <f t="shared" si="3"/>
        <v/>
      </c>
      <c r="G976" s="71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69"/>
      <c r="C977" s="58" t="str">
        <f>IFERROR(VLOOKUP(B977 ,INVENTARIO!$B$2:C996,2,0),"")</f>
        <v/>
      </c>
      <c r="D977" s="71"/>
      <c r="E977" s="71"/>
      <c r="F977" s="61" t="str">
        <f t="shared" si="3"/>
        <v/>
      </c>
      <c r="G977" s="71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69"/>
      <c r="C978" s="58" t="str">
        <f>IFERROR(VLOOKUP(B978 ,INVENTARIO!$B$2:C996,2,0),"")</f>
        <v/>
      </c>
      <c r="D978" s="71"/>
      <c r="E978" s="71"/>
      <c r="F978" s="61" t="str">
        <f t="shared" si="3"/>
        <v/>
      </c>
      <c r="G978" s="71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69"/>
      <c r="C979" s="58" t="str">
        <f>IFERROR(VLOOKUP(B979 ,INVENTARIO!$B$2:C996,2,0),"")</f>
        <v/>
      </c>
      <c r="D979" s="71"/>
      <c r="E979" s="71"/>
      <c r="F979" s="61" t="str">
        <f t="shared" si="3"/>
        <v/>
      </c>
      <c r="G979" s="71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69"/>
      <c r="C980" s="58" t="str">
        <f>IFERROR(VLOOKUP(B980 ,INVENTARIO!$B$2:C996,2,0),"")</f>
        <v/>
      </c>
      <c r="D980" s="71"/>
      <c r="E980" s="71"/>
      <c r="F980" s="61" t="str">
        <f t="shared" si="3"/>
        <v/>
      </c>
      <c r="G980" s="71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69"/>
      <c r="C981" s="58" t="str">
        <f>IFERROR(VLOOKUP(B981 ,INVENTARIO!$B$2:C996,2,0),"")</f>
        <v/>
      </c>
      <c r="D981" s="71"/>
      <c r="E981" s="71"/>
      <c r="F981" s="61" t="str">
        <f t="shared" si="3"/>
        <v/>
      </c>
      <c r="G981" s="71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69"/>
      <c r="C982" s="58" t="str">
        <f>IFERROR(VLOOKUP(B982 ,INVENTARIO!$B$2:C996,2,0),"")</f>
        <v/>
      </c>
      <c r="D982" s="71"/>
      <c r="E982" s="71"/>
      <c r="F982" s="61" t="str">
        <f t="shared" si="3"/>
        <v/>
      </c>
      <c r="G982" s="71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69"/>
      <c r="C983" s="58" t="str">
        <f>IFERROR(VLOOKUP(B983 ,INVENTARIO!$B$2:C996,2,0),"")</f>
        <v/>
      </c>
      <c r="D983" s="71"/>
      <c r="E983" s="71"/>
      <c r="F983" s="61" t="str">
        <f t="shared" si="3"/>
        <v/>
      </c>
      <c r="G983" s="71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69"/>
      <c r="C984" s="58" t="str">
        <f>IFERROR(VLOOKUP(B984 ,INVENTARIO!$B$2:C996,2,0),"")</f>
        <v/>
      </c>
      <c r="D984" s="71"/>
      <c r="E984" s="71"/>
      <c r="F984" s="61" t="str">
        <f t="shared" si="3"/>
        <v/>
      </c>
      <c r="G984" s="71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69"/>
      <c r="C985" s="58" t="str">
        <f>IFERROR(VLOOKUP(B985 ,INVENTARIO!$B$2:C996,2,0),"")</f>
        <v/>
      </c>
      <c r="D985" s="71"/>
      <c r="E985" s="71"/>
      <c r="F985" s="61" t="str">
        <f t="shared" si="3"/>
        <v/>
      </c>
      <c r="G985" s="71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69"/>
      <c r="C986" s="58" t="str">
        <f>IFERROR(VLOOKUP(B986 ,INVENTARIO!$B$2:C996,2,0),"")</f>
        <v/>
      </c>
      <c r="D986" s="71"/>
      <c r="E986" s="71"/>
      <c r="F986" s="61" t="str">
        <f t="shared" si="3"/>
        <v/>
      </c>
      <c r="G986" s="71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69"/>
      <c r="C987" s="58" t="str">
        <f>IFERROR(VLOOKUP(B987 ,INVENTARIO!$B$2:C996,2,0),"")</f>
        <v/>
      </c>
      <c r="D987" s="71"/>
      <c r="E987" s="71"/>
      <c r="F987" s="61" t="str">
        <f t="shared" si="3"/>
        <v/>
      </c>
      <c r="G987" s="71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69"/>
      <c r="C988" s="58" t="str">
        <f>IFERROR(VLOOKUP(B988 ,INVENTARIO!$B$2:C996,2,0),"")</f>
        <v/>
      </c>
      <c r="D988" s="71"/>
      <c r="E988" s="71"/>
      <c r="F988" s="61" t="str">
        <f t="shared" si="3"/>
        <v/>
      </c>
      <c r="G988" s="71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69"/>
      <c r="C989" s="58" t="str">
        <f>IFERROR(VLOOKUP(B989 ,INVENTARIO!$B$2:C996,2,0),"")</f>
        <v/>
      </c>
      <c r="D989" s="71"/>
      <c r="E989" s="71"/>
      <c r="F989" s="61" t="str">
        <f t="shared" si="3"/>
        <v/>
      </c>
      <c r="G989" s="71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69"/>
      <c r="C990" s="58" t="str">
        <f>IFERROR(VLOOKUP(B990 ,INVENTARIO!$B$2:C996,2,0),"")</f>
        <v/>
      </c>
      <c r="D990" s="71"/>
      <c r="E990" s="71"/>
      <c r="F990" s="61" t="str">
        <f t="shared" si="3"/>
        <v/>
      </c>
      <c r="G990" s="71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69"/>
      <c r="C991" s="58" t="str">
        <f>IFERROR(VLOOKUP(B991 ,INVENTARIO!$B$2:C996,2,0),"")</f>
        <v/>
      </c>
      <c r="D991" s="71"/>
      <c r="E991" s="71"/>
      <c r="F991" s="61" t="str">
        <f t="shared" si="3"/>
        <v/>
      </c>
      <c r="G991" s="71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69"/>
      <c r="C992" s="58" t="str">
        <f>IFERROR(VLOOKUP(B992 ,INVENTARIO!$B$2:C996,2,0),"")</f>
        <v/>
      </c>
      <c r="D992" s="71"/>
      <c r="E992" s="71"/>
      <c r="F992" s="61" t="str">
        <f t="shared" si="3"/>
        <v/>
      </c>
      <c r="G992" s="71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69"/>
      <c r="C993" s="58" t="str">
        <f>IFERROR(VLOOKUP(B993 ,INVENTARIO!$B$2:C996,2,0),"")</f>
        <v/>
      </c>
      <c r="D993" s="71"/>
      <c r="E993" s="71"/>
      <c r="F993" s="61" t="str">
        <f t="shared" si="3"/>
        <v/>
      </c>
      <c r="G993" s="71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69"/>
      <c r="C994" s="58" t="str">
        <f>IFERROR(VLOOKUP(B994 ,INVENTARIO!$B$2:C996,2,0),"")</f>
        <v/>
      </c>
      <c r="D994" s="71"/>
      <c r="E994" s="71"/>
      <c r="F994" s="61" t="str">
        <f t="shared" si="3"/>
        <v/>
      </c>
      <c r="G994" s="71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69"/>
      <c r="C995" s="58" t="str">
        <f>IFERROR(VLOOKUP(B995 ,INVENTARIO!$B$2:C996,2,0),"")</f>
        <v/>
      </c>
      <c r="D995" s="71"/>
      <c r="E995" s="71"/>
      <c r="F995" s="61" t="str">
        <f t="shared" si="3"/>
        <v/>
      </c>
      <c r="G995" s="71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F996" s="61" t="str">
        <f t="shared" si="3"/>
        <v/>
      </c>
    </row>
  </sheetData>
  <dataValidations>
    <dataValidation type="list" allowBlank="1" showErrorMessage="1" sqref="B3:B140 B142:B995">
      <formula1>INVENTARIO!$B$3:$B$1060</formula1>
    </dataValidation>
    <dataValidation type="custom" allowBlank="1" showDropDown="1" showErrorMessage="1" sqref="F3:F996">
      <formula1>OR(NOT(ISERROR(DATEVALUE(F3))), AND(ISNUMBER(F3), LEFT(CELL("format", F3))="D"))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1.0"/>
    <col customWidth="1" min="3" max="3" width="30.13"/>
    <col customWidth="1" min="4" max="4" width="11.5"/>
    <col customWidth="1" min="5" max="5" width="10.5"/>
    <col customWidth="1" min="6" max="6" width="8.25"/>
    <col customWidth="1" min="7" max="7" width="17.63"/>
    <col customWidth="1" min="8" max="8" width="16.38"/>
  </cols>
  <sheetData>
    <row r="1">
      <c r="A1" s="79"/>
      <c r="B1" s="79"/>
      <c r="C1" s="79"/>
      <c r="D1" s="79"/>
      <c r="E1" s="79"/>
      <c r="F1" s="80"/>
      <c r="G1" s="81"/>
      <c r="H1" s="81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ht="47.25" customHeight="1">
      <c r="A2" s="79"/>
      <c r="B2" s="44" t="s">
        <v>1</v>
      </c>
      <c r="C2" s="45" t="s">
        <v>1880</v>
      </c>
      <c r="D2" s="45" t="s">
        <v>1948</v>
      </c>
      <c r="E2" s="45" t="s">
        <v>1949</v>
      </c>
      <c r="F2" s="82" t="s">
        <v>1950</v>
      </c>
      <c r="G2" s="83" t="s">
        <v>1951</v>
      </c>
      <c r="H2" s="84" t="s">
        <v>1952</v>
      </c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>
      <c r="A3" s="79"/>
      <c r="B3" s="85" t="str">
        <f t="array" ref="B3:B560">UNIQUE(ENTRADAS!B4:B1000)</f>
        <v>CAD-40</v>
      </c>
      <c r="C3" s="76" t="str">
        <f>IFERROR(VLOOKUP(B3 ,INVENTARIO!B2:C1000,2,0),"")</f>
        <v/>
      </c>
      <c r="D3" s="76">
        <f>SUMIF(ENTRADAS!B:B,B3,ENTRADAS!D:D)</f>
        <v>11.5</v>
      </c>
      <c r="E3" s="76">
        <f>SUMIF(SALIDAS!B:B,B3,SALIDAS!D:D)</f>
        <v>0</v>
      </c>
      <c r="F3" s="86">
        <f t="shared" ref="F3:F1000" si="1">SUM(D3-E3)</f>
        <v>11.5</v>
      </c>
      <c r="G3" s="87"/>
      <c r="H3" s="87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>
      <c r="A4" s="79"/>
      <c r="B4" s="88" t="s">
        <v>13</v>
      </c>
      <c r="C4" s="71" t="str">
        <f>IFERROR(VLOOKUP(B4 ,INVENTARIO!B3:C1000,2,0),"")</f>
        <v>ASA S55 simple</v>
      </c>
      <c r="D4" s="71">
        <f>SUMIF(ENTRADAS!B:B,B4,ENTRADAS!D:D)</f>
        <v>1.5</v>
      </c>
      <c r="E4" s="71">
        <f>SUMIF(SALIDAS!B:B,B4,SALIDAS!D:D)</f>
        <v>0</v>
      </c>
      <c r="F4" s="89">
        <f t="shared" si="1"/>
        <v>1.5</v>
      </c>
      <c r="G4" s="90"/>
      <c r="H4" s="90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>
      <c r="A5" s="79"/>
      <c r="B5" s="88" t="s">
        <v>16</v>
      </c>
      <c r="C5" s="71" t="str">
        <f>IFERROR(VLOOKUP(B5 ,INVENTARIO!B4:C1000,2,0),"")</f>
        <v>ASA 50 doble</v>
      </c>
      <c r="D5" s="71">
        <f>SUMIF(ENTRADAS!B:B,B5,ENTRADAS!D:D)</f>
        <v>8.7</v>
      </c>
      <c r="E5" s="71">
        <f>SUMIF(SALIDAS!B:B,B5,SALIDAS!D:D)</f>
        <v>0</v>
      </c>
      <c r="F5" s="89">
        <f t="shared" si="1"/>
        <v>8.7</v>
      </c>
      <c r="G5" s="90"/>
      <c r="H5" s="90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>
      <c r="A6" s="79"/>
      <c r="B6" s="88" t="s">
        <v>18</v>
      </c>
      <c r="C6" s="71" t="str">
        <f>IFERROR(VLOOKUP(B6 ,INVENTARIO!B5:C1000,2,0),"")</f>
        <v>ASA 50 simple inoxidable</v>
      </c>
      <c r="D6" s="71">
        <f>SUMIF(ENTRADAS!B:B,B6,ENTRADAS!D:D)</f>
        <v>0.6</v>
      </c>
      <c r="E6" s="71">
        <f>SUMIF(SALIDAS!B:B,B6,SALIDAS!D:D)</f>
        <v>0</v>
      </c>
      <c r="F6" s="89">
        <f t="shared" si="1"/>
        <v>0.6</v>
      </c>
      <c r="G6" s="90"/>
      <c r="H6" s="90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79"/>
      <c r="B7" s="88" t="s">
        <v>21</v>
      </c>
      <c r="C7" s="71" t="str">
        <f>IFERROR(VLOOKUP(B7 ,INVENTARIO!B6:C1000,2,0),"")</f>
        <v>ASA 60 DOBLE</v>
      </c>
      <c r="D7" s="71">
        <f>SUMIF(ENTRADAS!B:B,B7,ENTRADAS!D:D)</f>
        <v>9.8</v>
      </c>
      <c r="E7" s="71">
        <f>SUMIF(SALIDAS!B:B,B7,SALIDAS!D:D)</f>
        <v>2</v>
      </c>
      <c r="F7" s="89">
        <f t="shared" si="1"/>
        <v>7.8</v>
      </c>
      <c r="G7" s="90"/>
      <c r="H7" s="90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79"/>
      <c r="B8" s="88" t="s">
        <v>1885</v>
      </c>
      <c r="C8" s="71" t="str">
        <f>IFERROR(VLOOKUP(B8 ,INVENTARIO!B7:C1000,2,0),"")</f>
        <v/>
      </c>
      <c r="D8" s="71">
        <f>SUMIF(ENTRADAS!B:B,B8,ENTRADAS!D:D)</f>
        <v>12</v>
      </c>
      <c r="E8" s="71">
        <f>SUMIF(SALIDAS!B:B,B8,SALIDAS!D:D)</f>
        <v>0</v>
      </c>
      <c r="F8" s="89">
        <f t="shared" si="1"/>
        <v>12</v>
      </c>
      <c r="G8" s="90"/>
      <c r="H8" s="90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>
      <c r="A9" s="79"/>
      <c r="B9" s="88" t="s">
        <v>1886</v>
      </c>
      <c r="C9" s="71" t="str">
        <f>IFERROR(VLOOKUP(B9 ,INVENTARIO!B8:C1000,2,0),"")</f>
        <v/>
      </c>
      <c r="D9" s="71">
        <f>SUMIF(ENTRADAS!B:B,B9,ENTRADAS!D:D)</f>
        <v>15.86</v>
      </c>
      <c r="E9" s="71">
        <f>SUMIF(SALIDAS!B:B,B9,SALIDAS!D:D)</f>
        <v>0</v>
      </c>
      <c r="F9" s="89">
        <f t="shared" si="1"/>
        <v>15.86</v>
      </c>
      <c r="G9" s="90"/>
      <c r="H9" s="90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>
      <c r="A10" s="79"/>
      <c r="B10" s="88" t="s">
        <v>7</v>
      </c>
      <c r="C10" s="71" t="str">
        <f>IFERROR(VLOOKUP(B10 ,INVENTARIO!B9:C1000,2,0),"")</f>
        <v/>
      </c>
      <c r="D10" s="71">
        <f>SUMIF(ENTRADAS!B:B,B10,ENTRADAS!D:D)</f>
        <v>4.65</v>
      </c>
      <c r="E10" s="71">
        <f>SUMIF(SALIDAS!B:B,B10,SALIDAS!D:D)</f>
        <v>0</v>
      </c>
      <c r="F10" s="89">
        <f t="shared" si="1"/>
        <v>4.65</v>
      </c>
      <c r="G10" s="90"/>
      <c r="H10" s="90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>
      <c r="A11" s="79"/>
      <c r="B11" s="88" t="s">
        <v>662</v>
      </c>
      <c r="C11" s="71" t="str">
        <f>IFERROR(VLOOKUP(B11 ,INVENTARIO!B10:C1000,2,0),"")</f>
        <v>400X2500mm x2</v>
      </c>
      <c r="D11" s="71">
        <f>SUMIF(ENTRADAS!B:B,B11,ENTRADAS!D:D)</f>
        <v>6</v>
      </c>
      <c r="E11" s="71">
        <f>SUMIF(SALIDAS!B:B,B11,SALIDAS!D:D)</f>
        <v>0</v>
      </c>
      <c r="F11" s="89">
        <f t="shared" si="1"/>
        <v>6</v>
      </c>
      <c r="G11" s="90"/>
      <c r="H11" s="90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79"/>
      <c r="B12" s="88" t="s">
        <v>39</v>
      </c>
      <c r="C12" s="71" t="str">
        <f>IFERROR(VLOOKUP(B12 ,INVENTARIO!B11:C1000,2,0),"")</f>
        <v>Union 06B1</v>
      </c>
      <c r="D12" s="71">
        <f>SUMIF(ENTRADAS!B:B,B12,ENTRADAS!D:D)</f>
        <v>7</v>
      </c>
      <c r="E12" s="71">
        <f>SUMIF(SALIDAS!B:B,B12,SALIDAS!D:D)</f>
        <v>0</v>
      </c>
      <c r="F12" s="89">
        <f t="shared" si="1"/>
        <v>7</v>
      </c>
      <c r="G12" s="90"/>
      <c r="H12" s="90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>
      <c r="A13" s="79"/>
      <c r="B13" s="88" t="s">
        <v>41</v>
      </c>
      <c r="C13" s="71" t="str">
        <f>IFERROR(VLOOKUP(B13 ,INVENTARIO!B12:C1000,2,0),"")</f>
        <v>Union 06B2</v>
      </c>
      <c r="D13" s="71">
        <f>SUMIF(ENTRADAS!B:B,B13,ENTRADAS!D:D)</f>
        <v>16</v>
      </c>
      <c r="E13" s="71">
        <f>SUMIF(SALIDAS!B:B,B13,SALIDAS!D:D)</f>
        <v>0</v>
      </c>
      <c r="F13" s="89">
        <f t="shared" si="1"/>
        <v>16</v>
      </c>
      <c r="G13" s="90"/>
      <c r="H13" s="90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>
      <c r="A14" s="79"/>
      <c r="B14" s="88" t="s">
        <v>44</v>
      </c>
      <c r="C14" s="71" t="str">
        <f>IFERROR(VLOOKUP(B14 ,INVENTARIO!B13:C1000,2,0),"")</f>
        <v>Medio eslabon</v>
      </c>
      <c r="D14" s="71">
        <f>SUMIF(ENTRADAS!B:B,B14,ENTRADAS!D:D)</f>
        <v>8</v>
      </c>
      <c r="E14" s="71">
        <f>SUMIF(SALIDAS!B:B,B14,SALIDAS!D:D)</f>
        <v>0</v>
      </c>
      <c r="F14" s="89">
        <f t="shared" si="1"/>
        <v>8</v>
      </c>
      <c r="G14" s="90"/>
      <c r="H14" s="90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>
      <c r="A15" s="79"/>
      <c r="B15" s="88" t="s">
        <v>49</v>
      </c>
      <c r="C15" s="71" t="str">
        <f>IFERROR(VLOOKUP(B15 ,INVENTARIO!B14:C1000,2,0),"")</f>
        <v>Union cadena ASA 40 con ALETA LATERAL</v>
      </c>
      <c r="D15" s="71">
        <f>SUMIF(ENTRADAS!B:B,B15,ENTRADAS!D:D)</f>
        <v>23</v>
      </c>
      <c r="E15" s="71">
        <f>SUMIF(SALIDAS!B:B,B15,SALIDAS!D:D)</f>
        <v>0</v>
      </c>
      <c r="F15" s="89">
        <f t="shared" si="1"/>
        <v>23</v>
      </c>
      <c r="G15" s="90"/>
      <c r="H15" s="90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>
      <c r="A16" s="79"/>
      <c r="B16" s="88" t="s">
        <v>52</v>
      </c>
      <c r="C16" s="71" t="str">
        <f>IFERROR(VLOOKUP(B16 ,INVENTARIO!B15:C1000,2,0),"")</f>
        <v>Medio eslabon</v>
      </c>
      <c r="D16" s="71">
        <f>SUMIF(ENTRADAS!B:B,B16,ENTRADAS!D:D)</f>
        <v>14</v>
      </c>
      <c r="E16" s="71">
        <f>SUMIF(SALIDAS!B:B,B16,SALIDAS!D:D)</f>
        <v>0</v>
      </c>
      <c r="F16" s="89">
        <f t="shared" si="1"/>
        <v>14</v>
      </c>
      <c r="G16" s="90"/>
      <c r="H16" s="90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>
      <c r="A17" s="79"/>
      <c r="B17" s="88" t="s">
        <v>53</v>
      </c>
      <c r="C17" s="71" t="str">
        <f>IFERROR(VLOOKUP(B17 ,INVENTARIO!B16:C1000,2,0),"")</f>
        <v>Union cad 50 simple</v>
      </c>
      <c r="D17" s="71">
        <f>SUMIF(ENTRADAS!B:B,B17,ENTRADAS!D:D)</f>
        <v>7</v>
      </c>
      <c r="E17" s="71">
        <f>SUMIF(SALIDAS!B:B,B17,SALIDAS!D:D)</f>
        <v>0</v>
      </c>
      <c r="F17" s="89">
        <f t="shared" si="1"/>
        <v>7</v>
      </c>
      <c r="G17" s="90"/>
      <c r="H17" s="90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>
      <c r="A18" s="79"/>
      <c r="B18" s="88" t="s">
        <v>1887</v>
      </c>
      <c r="C18" s="71" t="str">
        <f>IFERROR(VLOOKUP(B18 ,INVENTARIO!B17:C1000,2,0),"")</f>
        <v/>
      </c>
      <c r="D18" s="71">
        <f>SUMIF(ENTRADAS!B:B,B18,ENTRADAS!D:D)</f>
        <v>13</v>
      </c>
      <c r="E18" s="71">
        <f>SUMIF(SALIDAS!B:B,B18,SALIDAS!D:D)</f>
        <v>0</v>
      </c>
      <c r="F18" s="89">
        <f t="shared" si="1"/>
        <v>13</v>
      </c>
      <c r="G18" s="90"/>
      <c r="H18" s="90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>
      <c r="A19" s="79"/>
      <c r="B19" s="88" t="s">
        <v>1888</v>
      </c>
      <c r="C19" s="71" t="str">
        <f>IFERROR(VLOOKUP(B19 ,INVENTARIO!B18:C1000,2,0),"")</f>
        <v/>
      </c>
      <c r="D19" s="71">
        <f>SUMIF(ENTRADAS!B:B,B19,ENTRADAS!D:D)</f>
        <v>27</v>
      </c>
      <c r="E19" s="71">
        <f>SUMIF(SALIDAS!B:B,B19,SALIDAS!D:D)</f>
        <v>0</v>
      </c>
      <c r="F19" s="89">
        <f t="shared" si="1"/>
        <v>27</v>
      </c>
      <c r="G19" s="90"/>
      <c r="H19" s="90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>
      <c r="A20" s="79"/>
      <c r="B20" s="88" t="s">
        <v>67</v>
      </c>
      <c r="C20" s="71" t="str">
        <f>IFERROR(VLOOKUP(B20 ,INVENTARIO!B20:C1000,2,0),"")</f>
        <v>Cadena ASA 120 Doble</v>
      </c>
      <c r="D20" s="71">
        <f>SUMIF(ENTRADAS!B:B,B20,ENTRADAS!D:D)</f>
        <v>2</v>
      </c>
      <c r="E20" s="71">
        <f>SUMIF(SALIDAS!B:B,B20,SALIDAS!D:D)</f>
        <v>0</v>
      </c>
      <c r="F20" s="89">
        <f t="shared" si="1"/>
        <v>2</v>
      </c>
      <c r="G20" s="90"/>
      <c r="H20" s="90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>
      <c r="A21" s="79"/>
      <c r="B21" s="88" t="s">
        <v>70</v>
      </c>
      <c r="C21" s="71" t="str">
        <f>IFERROR(VLOOKUP(B21 ,INVENTARIO!B21:C1000,2,0),"")</f>
        <v> Medio Eslabon Cadena ASA 120 Doble</v>
      </c>
      <c r="D21" s="71">
        <f>SUMIF(ENTRADAS!B:B,B21,ENTRADAS!D:D)</f>
        <v>3</v>
      </c>
      <c r="E21" s="71">
        <f>SUMIF(SALIDAS!B:B,B21,SALIDAS!D:D)</f>
        <v>0</v>
      </c>
      <c r="F21" s="89">
        <f t="shared" si="1"/>
        <v>3</v>
      </c>
      <c r="G21" s="90"/>
      <c r="H21" s="90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>
      <c r="A22" s="79"/>
      <c r="B22" s="88" t="s">
        <v>77</v>
      </c>
      <c r="C22" s="71" t="str">
        <f>IFERROR(VLOOKUP(B22 ,INVENTARIO!B22:C1000,2,0),"")</f>
        <v>S55 medio eslabon</v>
      </c>
      <c r="D22" s="71">
        <f>SUMIF(ENTRADAS!B:B,B22,ENTRADAS!D:D)</f>
        <v>4</v>
      </c>
      <c r="E22" s="71">
        <f>SUMIF(SALIDAS!B:B,B22,SALIDAS!D:D)</f>
        <v>0</v>
      </c>
      <c r="F22" s="89">
        <f t="shared" si="1"/>
        <v>4</v>
      </c>
      <c r="G22" s="90"/>
      <c r="H22" s="90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>
      <c r="A23" s="79"/>
      <c r="B23" s="88" t="s">
        <v>80</v>
      </c>
      <c r="C23" s="71" t="str">
        <f>IFERROR(VLOOKUP(B23 ,INVENTARIO!B23:C1000,2,0),"")</f>
        <v>Pernos Para Bandejas Estibador</v>
      </c>
      <c r="D23" s="71">
        <f>SUMIF(ENTRADAS!B:B,B23,ENTRADAS!D:D)</f>
        <v>6</v>
      </c>
      <c r="E23" s="71">
        <f>SUMIF(SALIDAS!B:B,B23,SALIDAS!D:D)</f>
        <v>1</v>
      </c>
      <c r="F23" s="89">
        <f t="shared" si="1"/>
        <v>5</v>
      </c>
      <c r="G23" s="90"/>
      <c r="H23" s="90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>
      <c r="A24" s="79"/>
      <c r="B24" s="88" t="s">
        <v>83</v>
      </c>
      <c r="C24" s="71" t="str">
        <f>IFERROR(VLOOKUP(B24 ,INVENTARIO!B24:C1000,2,0),"")</f>
        <v>CF 1 1/8 S</v>
      </c>
      <c r="D24" s="71">
        <f>SUMIF(ENTRADAS!B:B,B24,ENTRADAS!D:D)</f>
        <v>4</v>
      </c>
      <c r="E24" s="71">
        <f>SUMIF(SALIDAS!B:B,B24,SALIDAS!D:D)</f>
        <v>1</v>
      </c>
      <c r="F24" s="89">
        <f t="shared" si="1"/>
        <v>3</v>
      </c>
      <c r="G24" s="90"/>
      <c r="H24" s="90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>
      <c r="A25" s="79"/>
      <c r="B25" s="88" t="s">
        <v>86</v>
      </c>
      <c r="C25" s="71" t="str">
        <f>IFERROR(VLOOKUP(B25 ,INVENTARIO!B26:C1000,2,0),"")</f>
        <v>UCT208</v>
      </c>
      <c r="D25" s="71">
        <f>SUMIF(ENTRADAS!B:B,B25,ENTRADAS!D:D)</f>
        <v>2</v>
      </c>
      <c r="E25" s="71">
        <f>SUMIF(SALIDAS!B:B,B25,SALIDAS!D:D)</f>
        <v>0</v>
      </c>
      <c r="F25" s="89">
        <f t="shared" si="1"/>
        <v>2</v>
      </c>
      <c r="G25" s="90"/>
      <c r="H25" s="90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>
      <c r="A26" s="79"/>
      <c r="B26" s="88" t="s">
        <v>89</v>
      </c>
      <c r="C26" s="71" t="str">
        <f>IFERROR(VLOOKUP(B26 ,INVENTARIO!B27:C1000,2,0),"")</f>
        <v>GY1103KRRB3</v>
      </c>
      <c r="D26" s="71">
        <f>SUMIF(ENTRADAS!B:B,B26,ENTRADAS!D:D)</f>
        <v>2</v>
      </c>
      <c r="E26" s="71">
        <f>SUMIF(SALIDAS!B:B,B26,SALIDAS!D:D)</f>
        <v>0</v>
      </c>
      <c r="F26" s="89">
        <f t="shared" si="1"/>
        <v>2</v>
      </c>
      <c r="G26" s="90"/>
      <c r="H26" s="90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>
      <c r="A27" s="79"/>
      <c r="B27" s="88" t="s">
        <v>91</v>
      </c>
      <c r="C27" s="71" t="str">
        <f>IFERROR(VLOOKUP(B27 ,INVENTARIO!B28:C1000,2,0),"")</f>
        <v>UL211-200</v>
      </c>
      <c r="D27" s="71">
        <f>SUMIF(ENTRADAS!B:B,B27,ENTRADAS!D:D)</f>
        <v>3</v>
      </c>
      <c r="E27" s="71">
        <f>SUMIF(SALIDAS!B:B,B27,SALIDAS!D:D)</f>
        <v>0</v>
      </c>
      <c r="F27" s="89">
        <f t="shared" si="1"/>
        <v>3</v>
      </c>
      <c r="G27" s="90"/>
      <c r="H27" s="90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>
      <c r="A28" s="79"/>
      <c r="B28" s="88" t="s">
        <v>93</v>
      </c>
      <c r="C28" s="71" t="str">
        <f>IFERROR(VLOOKUP(B28 ,INVENTARIO!B29:C1000,2,0),"")</f>
        <v>UC203</v>
      </c>
      <c r="D28" s="71">
        <f>SUMIF(ENTRADAS!B:B,B28,ENTRADAS!D:D)</f>
        <v>9</v>
      </c>
      <c r="E28" s="71">
        <f>SUMIF(SALIDAS!B:B,B28,SALIDAS!D:D)</f>
        <v>0</v>
      </c>
      <c r="F28" s="89">
        <f t="shared" si="1"/>
        <v>9</v>
      </c>
      <c r="G28" s="90"/>
      <c r="H28" s="90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>
      <c r="A29" s="79"/>
      <c r="B29" s="88" t="s">
        <v>95</v>
      </c>
      <c r="C29" s="71" t="str">
        <f>IFERROR(VLOOKUP(B29 ,INVENTARIO!B31:C1000,2,0),"")</f>
        <v>UC206-20 EJE 31,74</v>
      </c>
      <c r="D29" s="71">
        <f>SUMIF(ENTRADAS!B:B,B29,ENTRADAS!D:D)</f>
        <v>20</v>
      </c>
      <c r="E29" s="71">
        <f>SUMIF(SALIDAS!B:B,B29,SALIDAS!D:D)</f>
        <v>0</v>
      </c>
      <c r="F29" s="89">
        <f t="shared" si="1"/>
        <v>20</v>
      </c>
      <c r="G29" s="90"/>
      <c r="H29" s="90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>
      <c r="A30" s="79"/>
      <c r="B30" s="88" t="s">
        <v>97</v>
      </c>
      <c r="C30" s="71" t="str">
        <f>IFERROR(VLOOKUP(B30 ,INVENTARIO!B32:C1000,2,0),"")</f>
        <v>UC206-EJE 30</v>
      </c>
      <c r="D30" s="71">
        <f>SUMIF(ENTRADAS!B:B,B30,ENTRADAS!D:D)</f>
        <v>15</v>
      </c>
      <c r="E30" s="71">
        <f>SUMIF(SALIDAS!B:B,B30,SALIDAS!D:D)</f>
        <v>3</v>
      </c>
      <c r="F30" s="89">
        <f t="shared" si="1"/>
        <v>12</v>
      </c>
      <c r="G30" s="90"/>
      <c r="H30" s="90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>
      <c r="A31" s="79"/>
      <c r="B31" s="88" t="s">
        <v>100</v>
      </c>
      <c r="C31" s="71" t="str">
        <f>IFERROR(VLOOKUP(B31 ,INVENTARIO!B33:C1000,2,0),"")</f>
        <v>UC206-104D1</v>
      </c>
      <c r="D31" s="71">
        <f>SUMIF(ENTRADAS!B:B,B31,ENTRADAS!D:D)</f>
        <v>5</v>
      </c>
      <c r="E31" s="71">
        <f>SUMIF(SALIDAS!B:B,B31,SALIDAS!D:D)</f>
        <v>0</v>
      </c>
      <c r="F31" s="89">
        <f t="shared" si="1"/>
        <v>5</v>
      </c>
      <c r="G31" s="90"/>
      <c r="H31" s="90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>
      <c r="A32" s="79"/>
      <c r="B32" s="88" t="s">
        <v>102</v>
      </c>
      <c r="C32" s="71" t="str">
        <f>IFERROR(VLOOKUP(B32 ,INVENTARIO!B34:C1000,2,0),"")</f>
        <v>AEL206-104D1</v>
      </c>
      <c r="D32" s="71">
        <f>SUMIF(ENTRADAS!B:B,B32,ENTRADAS!D:D)</f>
        <v>4</v>
      </c>
      <c r="E32" s="71">
        <f>SUMIF(SALIDAS!B:B,B32,SALIDAS!D:D)</f>
        <v>0</v>
      </c>
      <c r="F32" s="89">
        <f t="shared" si="1"/>
        <v>4</v>
      </c>
      <c r="G32" s="90"/>
      <c r="H32" s="90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>
      <c r="A33" s="79"/>
      <c r="B33" s="88" t="s">
        <v>104</v>
      </c>
      <c r="C33" s="71" t="str">
        <f>IFERROR(VLOOKUP(B33 ,INVENTARIO!B35:C1000,2,0),"")</f>
        <v>UC206G</v>
      </c>
      <c r="D33" s="71">
        <f>SUMIF(ENTRADAS!B:B,B33,ENTRADAS!D:D)</f>
        <v>4</v>
      </c>
      <c r="E33" s="71">
        <f>SUMIF(SALIDAS!B:B,B33,SALIDAS!D:D)</f>
        <v>0</v>
      </c>
      <c r="F33" s="89">
        <f t="shared" si="1"/>
        <v>4</v>
      </c>
      <c r="G33" s="90"/>
      <c r="H33" s="90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>
      <c r="A34" s="79"/>
      <c r="B34" s="88" t="s">
        <v>110</v>
      </c>
      <c r="C34" s="71" t="str">
        <f>IFERROR(VLOOKUP(B34 ,INVENTARIO!B36:C1000,2,0),"")</f>
        <v>UC204D1</v>
      </c>
      <c r="D34" s="71">
        <f>SUMIF(ENTRADAS!B:B,B34,ENTRADAS!D:D)</f>
        <v>11</v>
      </c>
      <c r="E34" s="71">
        <f>SUMIF(SALIDAS!B:B,B34,SALIDAS!D:D)</f>
        <v>15</v>
      </c>
      <c r="F34" s="89">
        <f t="shared" si="1"/>
        <v>-4</v>
      </c>
      <c r="G34" s="90"/>
      <c r="H34" s="90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>
      <c r="A35" s="79"/>
      <c r="B35" s="88" t="s">
        <v>112</v>
      </c>
      <c r="C35" s="71" t="str">
        <f>IFERROR(VLOOKUP(B35 ,INVENTARIO!B37:C1000,2,0),"")</f>
        <v>AS204D1</v>
      </c>
      <c r="D35" s="71">
        <f>SUMIF(ENTRADAS!B:B,B35,ENTRADAS!D:D)</f>
        <v>4</v>
      </c>
      <c r="E35" s="71">
        <f>SUMIF(SALIDAS!B:B,B35,SALIDAS!D:D)</f>
        <v>0</v>
      </c>
      <c r="F35" s="89">
        <f t="shared" si="1"/>
        <v>4</v>
      </c>
      <c r="G35" s="90"/>
      <c r="H35" s="90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>
      <c r="A36" s="79"/>
      <c r="B36" s="88" t="s">
        <v>114</v>
      </c>
      <c r="C36" s="71" t="str">
        <f>IFERROR(VLOOKUP(B36 ,INVENTARIO!B38:C1000,2,0),"")</f>
        <v>UC202-010D1</v>
      </c>
      <c r="D36" s="71">
        <f>SUMIF(ENTRADAS!B:B,B36,ENTRADAS!D:D)</f>
        <v>10</v>
      </c>
      <c r="E36" s="71">
        <f>SUMIF(SALIDAS!B:B,B36,SALIDAS!D:D)</f>
        <v>0</v>
      </c>
      <c r="F36" s="89">
        <f t="shared" si="1"/>
        <v>10</v>
      </c>
      <c r="G36" s="90"/>
      <c r="H36" s="90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</row>
    <row r="37">
      <c r="A37" s="79"/>
      <c r="B37" s="88" t="s">
        <v>116</v>
      </c>
      <c r="C37" s="71" t="str">
        <f>IFERROR(VLOOKUP(B37 ,INVENTARIO!B39:C1000,2,0),"")</f>
        <v>UC211-200D1</v>
      </c>
      <c r="D37" s="71">
        <f>SUMIF(ENTRADAS!B:B,B37,ENTRADAS!D:D)</f>
        <v>6</v>
      </c>
      <c r="E37" s="71">
        <f>SUMIF(SALIDAS!B:B,B37,SALIDAS!D:D)</f>
        <v>0</v>
      </c>
      <c r="F37" s="89">
        <f t="shared" si="1"/>
        <v>6</v>
      </c>
      <c r="G37" s="90"/>
      <c r="H37" s="90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</row>
    <row r="38">
      <c r="A38" s="79"/>
      <c r="B38" s="88" t="s">
        <v>119</v>
      </c>
      <c r="C38" s="71" t="str">
        <f>IFERROR(VLOOKUP(B38 ,INVENTARIO!B40:C1000,2,0),"")</f>
        <v>UC212D1</v>
      </c>
      <c r="D38" s="71">
        <f>SUMIF(ENTRADAS!B:B,B38,ENTRADAS!D:D)</f>
        <v>2</v>
      </c>
      <c r="E38" s="71">
        <f>SUMIF(SALIDAS!B:B,B38,SALIDAS!D:D)</f>
        <v>0</v>
      </c>
      <c r="F38" s="89">
        <f t="shared" si="1"/>
        <v>2</v>
      </c>
      <c r="G38" s="90"/>
      <c r="H38" s="90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</row>
    <row r="39">
      <c r="A39" s="79"/>
      <c r="B39" s="88" t="s">
        <v>122</v>
      </c>
      <c r="C39" s="71" t="str">
        <f>IFERROR(VLOOKUP(B39 ,INVENTARIO!B41:C1000,2,0),"")</f>
        <v>UC205</v>
      </c>
      <c r="D39" s="71">
        <f>SUMIF(ENTRADAS!B:B,B39,ENTRADAS!D:D)</f>
        <v>36</v>
      </c>
      <c r="E39" s="71">
        <f>SUMIF(SALIDAS!B:B,B39,SALIDAS!D:D)</f>
        <v>22</v>
      </c>
      <c r="F39" s="89">
        <f t="shared" si="1"/>
        <v>14</v>
      </c>
      <c r="G39" s="90"/>
      <c r="H39" s="90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</row>
    <row r="40">
      <c r="A40" s="79"/>
      <c r="B40" s="88" t="s">
        <v>125</v>
      </c>
      <c r="C40" s="71" t="str">
        <f>IFERROR(VLOOKUP(B40 ,INVENTARIO!B42:C1000,2,0),"")</f>
        <v>UC208-40MM</v>
      </c>
      <c r="D40" s="71">
        <f>SUMIF(ENTRADAS!B:B,B40,ENTRADAS!D:D)</f>
        <v>4</v>
      </c>
      <c r="E40" s="71">
        <f>SUMIF(SALIDAS!B:B,B40,SALIDAS!D:D)</f>
        <v>0</v>
      </c>
      <c r="F40" s="89">
        <f t="shared" si="1"/>
        <v>4</v>
      </c>
      <c r="G40" s="90"/>
      <c r="H40" s="90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>
      <c r="A41" s="79"/>
      <c r="B41" s="88" t="s">
        <v>128</v>
      </c>
      <c r="C41" s="71" t="str">
        <f>IFERROR(VLOOKUP(B41 ,INVENTARIO!B43:C1000,2,0),"")</f>
        <v>UC214D1</v>
      </c>
      <c r="D41" s="71">
        <f>SUMIF(ENTRADAS!B:B,B41,ENTRADAS!D:D)</f>
        <v>2</v>
      </c>
      <c r="E41" s="71">
        <f>SUMIF(SALIDAS!B:B,B41,SALIDAS!D:D)</f>
        <v>0</v>
      </c>
      <c r="F41" s="89">
        <f t="shared" si="1"/>
        <v>2</v>
      </c>
      <c r="G41" s="90"/>
      <c r="H41" s="90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>
      <c r="A42" s="79"/>
      <c r="B42" s="88" t="s">
        <v>131</v>
      </c>
      <c r="C42" s="71" t="str">
        <f>IFERROR(VLOOKUP(B42 ,INVENTARIO!B44:C1000,2,0),"")</f>
        <v>UC209</v>
      </c>
      <c r="D42" s="71">
        <f>SUMIF(ENTRADAS!B:B,B42,ENTRADAS!D:D)</f>
        <v>2</v>
      </c>
      <c r="E42" s="71">
        <f>SUMIF(SALIDAS!B:B,B42,SALIDAS!D:D)</f>
        <v>0</v>
      </c>
      <c r="F42" s="89">
        <f t="shared" si="1"/>
        <v>2</v>
      </c>
      <c r="G42" s="90"/>
      <c r="H42" s="90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>
      <c r="A43" s="79"/>
      <c r="B43" s="88" t="s">
        <v>134</v>
      </c>
      <c r="C43" s="71" t="str">
        <f>IFERROR(VLOOKUP(B43 ,INVENTARIO!B46:C1000,2,0),"")</f>
        <v>NK16/20R</v>
      </c>
      <c r="D43" s="71">
        <f>SUMIF(ENTRADAS!B:B,B43,ENTRADAS!D:D)</f>
        <v>2</v>
      </c>
      <c r="E43" s="71">
        <f>SUMIF(SALIDAS!B:B,B43,SALIDAS!D:D)</f>
        <v>0</v>
      </c>
      <c r="F43" s="89">
        <f t="shared" si="1"/>
        <v>2</v>
      </c>
      <c r="G43" s="90"/>
      <c r="H43" s="90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>
      <c r="A44" s="79"/>
      <c r="B44" s="88" t="s">
        <v>138</v>
      </c>
      <c r="C44" s="71" t="str">
        <f>IFERROR(VLOOKUP(B44 ,INVENTARIO!B47:C1000,2,0),"")</f>
        <v>AS206-104</v>
      </c>
      <c r="D44" s="71">
        <f>SUMIF(ENTRADAS!B:B,B44,ENTRADAS!D:D)</f>
        <v>1</v>
      </c>
      <c r="E44" s="71">
        <f>SUMIF(SALIDAS!B:B,B44,SALIDAS!D:D)</f>
        <v>0</v>
      </c>
      <c r="F44" s="89">
        <f t="shared" si="1"/>
        <v>1</v>
      </c>
      <c r="G44" s="90"/>
      <c r="H44" s="90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>
      <c r="A45" s="79"/>
      <c r="B45" s="88" t="s">
        <v>140</v>
      </c>
      <c r="C45" s="71" t="str">
        <f>IFERROR(VLOOKUP(B45 ,INVENTARIO!B48:C1000,2,0),"")</f>
        <v>GYE20KRRB</v>
      </c>
      <c r="D45" s="71">
        <f>SUMIF(ENTRADAS!B:B,B45,ENTRADAS!D:D)</f>
        <v>2</v>
      </c>
      <c r="E45" s="71">
        <f>SUMIF(SALIDAS!B:B,B45,SALIDAS!D:D)</f>
        <v>0</v>
      </c>
      <c r="F45" s="89">
        <f t="shared" si="1"/>
        <v>2</v>
      </c>
      <c r="G45" s="90"/>
      <c r="H45" s="90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</row>
    <row r="46">
      <c r="A46" s="79"/>
      <c r="B46" s="88" t="s">
        <v>142</v>
      </c>
      <c r="C46" s="71" t="str">
        <f>IFERROR(VLOOKUP(B46 ,INVENTARIO!B49:C1000,2,0),"")</f>
        <v>YEL206</v>
      </c>
      <c r="D46" s="71">
        <f>SUMIF(ENTRADAS!B:B,B46,ENTRADAS!D:D)</f>
        <v>1</v>
      </c>
      <c r="E46" s="71">
        <f>SUMIF(SALIDAS!B:B,B46,SALIDAS!D:D)</f>
        <v>0</v>
      </c>
      <c r="F46" s="89">
        <f t="shared" si="1"/>
        <v>1</v>
      </c>
      <c r="G46" s="90"/>
      <c r="H46" s="90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</row>
    <row r="47">
      <c r="A47" s="79"/>
      <c r="B47" s="88" t="s">
        <v>144</v>
      </c>
      <c r="C47" s="71" t="str">
        <f>IFERROR(VLOOKUP(B47 ,INVENTARIO!B50:C1000,2,0),"")</f>
        <v>YET206-103</v>
      </c>
      <c r="D47" s="71">
        <f>SUMIF(ENTRADAS!B:B,B47,ENTRADAS!D:D)</f>
        <v>5</v>
      </c>
      <c r="E47" s="71">
        <f>SUMIF(SALIDAS!B:B,B47,SALIDAS!D:D)</f>
        <v>0</v>
      </c>
      <c r="F47" s="89">
        <f t="shared" si="1"/>
        <v>5</v>
      </c>
      <c r="G47" s="90"/>
      <c r="H47" s="90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>
      <c r="A48" s="79"/>
      <c r="B48" s="88" t="s">
        <v>147</v>
      </c>
      <c r="C48" s="71" t="str">
        <f>IFERROR(VLOOKUP(B48 ,INVENTARIO!B51:C1000,2,0),"")</f>
        <v>YET202-010</v>
      </c>
      <c r="D48" s="71">
        <f>SUMIF(ENTRADAS!B:B,B48,ENTRADAS!D:D)</f>
        <v>5</v>
      </c>
      <c r="E48" s="71">
        <f>SUMIF(SALIDAS!B:B,B48,SALIDAS!D:D)</f>
        <v>0</v>
      </c>
      <c r="F48" s="89">
        <f t="shared" si="1"/>
        <v>5</v>
      </c>
      <c r="G48" s="90"/>
      <c r="H48" s="90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</row>
    <row r="49">
      <c r="A49" s="79"/>
      <c r="B49" s="88" t="s">
        <v>149</v>
      </c>
      <c r="C49" s="71" t="str">
        <f>IFERROR(VLOOKUP(B49 ,INVENTARIO!B52:C1000,2,0),"")</f>
        <v>UEL211-200</v>
      </c>
      <c r="D49" s="71">
        <f>SUMIF(ENTRADAS!B:B,B49,ENTRADAS!D:D)</f>
        <v>3</v>
      </c>
      <c r="E49" s="71">
        <f>SUMIF(SALIDAS!B:B,B49,SALIDAS!D:D)</f>
        <v>0</v>
      </c>
      <c r="F49" s="89">
        <f t="shared" si="1"/>
        <v>3</v>
      </c>
      <c r="G49" s="90"/>
      <c r="H49" s="90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>
      <c r="A50" s="79"/>
      <c r="B50" s="88" t="s">
        <v>151</v>
      </c>
      <c r="C50" s="71" t="str">
        <f>IFERROR(VLOOKUP(B50 ,INVENTARIO!B53:C1000,2,0),"")</f>
        <v>NA206</v>
      </c>
      <c r="D50" s="71">
        <f>SUMIF(ENTRADAS!B:B,B50,ENTRADAS!D:D)</f>
        <v>4</v>
      </c>
      <c r="E50" s="71">
        <f>SUMIF(SALIDAS!B:B,B50,SALIDAS!D:D)</f>
        <v>0</v>
      </c>
      <c r="F50" s="89">
        <f t="shared" si="1"/>
        <v>4</v>
      </c>
      <c r="G50" s="90"/>
      <c r="H50" s="90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>
      <c r="A51" s="79"/>
      <c r="B51" s="88" t="s">
        <v>153</v>
      </c>
      <c r="C51" s="71" t="str">
        <f>IFERROR(VLOOKUP(B51 ,INVENTARIO!B54:C1000,2,0),"")</f>
        <v>UCP203D1</v>
      </c>
      <c r="D51" s="71">
        <f>SUMIF(ENTRADAS!B:B,B51,ENTRADAS!D:D)</f>
        <v>4</v>
      </c>
      <c r="E51" s="71">
        <f>SUMIF(SALIDAS!B:B,B51,SALIDAS!D:D)</f>
        <v>0</v>
      </c>
      <c r="F51" s="89">
        <f t="shared" si="1"/>
        <v>4</v>
      </c>
      <c r="G51" s="90"/>
      <c r="H51" s="90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>
      <c r="A52" s="79"/>
      <c r="B52" s="88" t="s">
        <v>155</v>
      </c>
      <c r="C52" s="71" t="str">
        <f>IFERROR(VLOOKUP(B52 ,INVENTARIO!B55:C1000,2,0),"")</f>
        <v>UCP214D1</v>
      </c>
      <c r="D52" s="71">
        <f>SUMIF(ENTRADAS!B:B,B52,ENTRADAS!D:D)</f>
        <v>2</v>
      </c>
      <c r="E52" s="71">
        <f>SUMIF(SALIDAS!B:B,B52,SALIDAS!D:D)</f>
        <v>0</v>
      </c>
      <c r="F52" s="89">
        <f t="shared" si="1"/>
        <v>2</v>
      </c>
      <c r="G52" s="90"/>
      <c r="H52" s="90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>
      <c r="A53" s="79"/>
      <c r="B53" s="88" t="s">
        <v>158</v>
      </c>
      <c r="C53" s="71" t="str">
        <f>IFERROR(VLOOKUP(B53 ,INVENTARIO!B56:C1000,2,0),"")</f>
        <v>H309</v>
      </c>
      <c r="D53" s="71">
        <f>SUMIF(ENTRADAS!B:B,B53,ENTRADAS!D:D)</f>
        <v>2</v>
      </c>
      <c r="E53" s="71">
        <f>SUMIF(SALIDAS!B:B,B53,SALIDAS!D:D)</f>
        <v>2</v>
      </c>
      <c r="F53" s="89">
        <f t="shared" si="1"/>
        <v>0</v>
      </c>
      <c r="G53" s="90"/>
      <c r="H53" s="90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>
      <c r="A54" s="79"/>
      <c r="B54" s="88" t="s">
        <v>161</v>
      </c>
      <c r="C54" s="71" t="str">
        <f>IFERROR(VLOOKUP(B54 ,INVENTARIO!B57:C1000,2,0),"")</f>
        <v>H309 USADO</v>
      </c>
      <c r="D54" s="71">
        <f>SUMIF(ENTRADAS!B:B,B54,ENTRADAS!D:D)</f>
        <v>1</v>
      </c>
      <c r="E54" s="71">
        <f>SUMIF(SALIDAS!B:B,B54,SALIDAS!D:D)</f>
        <v>0</v>
      </c>
      <c r="F54" s="89">
        <f t="shared" si="1"/>
        <v>1</v>
      </c>
      <c r="G54" s="90"/>
      <c r="H54" s="90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>
      <c r="A55" s="79"/>
      <c r="B55" s="88" t="s">
        <v>163</v>
      </c>
      <c r="C55" s="71" t="str">
        <f>IFERROR(VLOOKUP(B55 ,INVENTARIO!B58:C1000,2,0),"")</f>
        <v>SET328</v>
      </c>
      <c r="D55" s="71">
        <f>SUMIF(ENTRADAS!B:B,B55,ENTRADAS!D:D)</f>
        <v>2</v>
      </c>
      <c r="E55" s="71">
        <f>SUMIF(SALIDAS!B:B,B55,SALIDAS!D:D)</f>
        <v>0</v>
      </c>
      <c r="F55" s="89">
        <f t="shared" si="1"/>
        <v>2</v>
      </c>
      <c r="G55" s="90"/>
      <c r="H55" s="90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>
      <c r="A56" s="79"/>
      <c r="B56" s="88" t="s">
        <v>1889</v>
      </c>
      <c r="C56" s="71" t="str">
        <f>IFERROR(VLOOKUP(B56 ,INVENTARIO!B59:C1000,2,0),"")</f>
        <v/>
      </c>
      <c r="D56" s="71">
        <f>SUMIF(ENTRADAS!B:B,B56,ENTRADAS!D:D)</f>
        <v>9</v>
      </c>
      <c r="E56" s="71">
        <f>SUMIF(SALIDAS!B:B,B56,SALIDAS!D:D)</f>
        <v>2</v>
      </c>
      <c r="F56" s="89">
        <f t="shared" si="1"/>
        <v>7</v>
      </c>
      <c r="G56" s="90"/>
      <c r="H56" s="90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>
      <c r="A57" s="79"/>
      <c r="B57" s="88" t="s">
        <v>1890</v>
      </c>
      <c r="C57" s="71" t="str">
        <f>IFERROR(VLOOKUP(B57 ,INVENTARIO!B60:C1000,2,0),"")</f>
        <v/>
      </c>
      <c r="D57" s="71">
        <f>SUMIF(ENTRADAS!B:B,B57,ENTRADAS!D:D)</f>
        <v>1</v>
      </c>
      <c r="E57" s="71">
        <f>SUMIF(SALIDAS!B:B,B57,SALIDAS!D:D)</f>
        <v>0</v>
      </c>
      <c r="F57" s="89">
        <f t="shared" si="1"/>
        <v>1</v>
      </c>
      <c r="G57" s="90"/>
      <c r="H57" s="90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>
      <c r="A58" s="79"/>
      <c r="B58" s="88" t="s">
        <v>170</v>
      </c>
      <c r="C58" s="71" t="str">
        <f>IFERROR(VLOOKUP(B58 ,INVENTARIO!B61:C1000,2,0),"")</f>
        <v>32007A</v>
      </c>
      <c r="D58" s="71">
        <f>SUMIF(ENTRADAS!B:B,B58,ENTRADAS!D:D)</f>
        <v>7</v>
      </c>
      <c r="E58" s="71">
        <f>SUMIF(SALIDAS!B:B,B58,SALIDAS!D:D)</f>
        <v>0</v>
      </c>
      <c r="F58" s="89">
        <f t="shared" si="1"/>
        <v>7</v>
      </c>
      <c r="G58" s="90"/>
      <c r="H58" s="90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>
      <c r="A59" s="79"/>
      <c r="B59" s="88" t="s">
        <v>172</v>
      </c>
      <c r="C59" s="71" t="str">
        <f>IFERROR(VLOOKUP(B59 ,INVENTARIO!B62:C1000,2,0),"")</f>
        <v>32007X 4T-3007X</v>
      </c>
      <c r="D59" s="71">
        <f>SUMIF(ENTRADAS!B:B,B59,ENTRADAS!D:D)</f>
        <v>15</v>
      </c>
      <c r="E59" s="71">
        <f>SUMIF(SALIDAS!B:B,B59,SALIDAS!D:D)</f>
        <v>0</v>
      </c>
      <c r="F59" s="89">
        <f t="shared" si="1"/>
        <v>15</v>
      </c>
      <c r="G59" s="90"/>
      <c r="H59" s="90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>
      <c r="A60" s="79"/>
      <c r="B60" s="88" t="s">
        <v>175</v>
      </c>
      <c r="C60" s="71" t="str">
        <f>IFERROR(VLOOKUP(B60 ,INVENTARIO!B63:C1000,2,0),"")</f>
        <v/>
      </c>
      <c r="D60" s="71">
        <f>SUMIF(ENTRADAS!B:B,B60,ENTRADAS!D:D)</f>
        <v>2</v>
      </c>
      <c r="E60" s="71">
        <f>SUMIF(SALIDAS!B:B,B60,SALIDAS!D:D)</f>
        <v>0</v>
      </c>
      <c r="F60" s="89">
        <f t="shared" si="1"/>
        <v>2</v>
      </c>
      <c r="G60" s="90"/>
      <c r="H60" s="90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</row>
    <row r="61">
      <c r="A61" s="79"/>
      <c r="B61" s="88" t="s">
        <v>176</v>
      </c>
      <c r="C61" s="71" t="str">
        <f>IFERROR(VLOOKUP(B61 ,INVENTARIO!B64:C1000,2,0),"")</f>
        <v/>
      </c>
      <c r="D61" s="71">
        <f>SUMIF(ENTRADAS!B:B,B61,ENTRADAS!D:D)</f>
        <v>6</v>
      </c>
      <c r="E61" s="71">
        <f>SUMIF(SALIDAS!B:B,B61,SALIDAS!D:D)</f>
        <v>0</v>
      </c>
      <c r="F61" s="89">
        <f t="shared" si="1"/>
        <v>6</v>
      </c>
      <c r="G61" s="90"/>
      <c r="H61" s="90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>
      <c r="A62" s="79"/>
      <c r="B62" s="88" t="s">
        <v>180</v>
      </c>
      <c r="C62" s="71" t="str">
        <f>IFERROR(VLOOKUP(B62 ,INVENTARIO!B65:C1000,2,0),"")</f>
        <v>1212 doble bolilla cilindrico</v>
      </c>
      <c r="D62" s="71">
        <f>SUMIF(ENTRADAS!B:B,B62,ENTRADAS!D:D)</f>
        <v>6</v>
      </c>
      <c r="E62" s="71">
        <f>SUMIF(SALIDAS!B:B,B62,SALIDAS!D:D)</f>
        <v>0</v>
      </c>
      <c r="F62" s="89">
        <f t="shared" si="1"/>
        <v>6</v>
      </c>
      <c r="G62" s="90"/>
      <c r="H62" s="90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</row>
    <row r="63">
      <c r="A63" s="79"/>
      <c r="B63" s="88" t="s">
        <v>182</v>
      </c>
      <c r="C63" s="71" t="str">
        <f>IFERROR(VLOOKUP(B63 ,INVENTARIO!B66:C1000,2,0),"")</f>
        <v>32017 X</v>
      </c>
      <c r="D63" s="71">
        <f>SUMIF(ENTRADAS!B:B,B63,ENTRADAS!D:D)</f>
        <v>1</v>
      </c>
      <c r="E63" s="71">
        <f>SUMIF(SALIDAS!B:B,B63,SALIDAS!D:D)</f>
        <v>0</v>
      </c>
      <c r="F63" s="89">
        <f t="shared" si="1"/>
        <v>1</v>
      </c>
      <c r="G63" s="90"/>
      <c r="H63" s="90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>
      <c r="A64" s="79"/>
      <c r="B64" s="88" t="s">
        <v>184</v>
      </c>
      <c r="C64" s="71" t="str">
        <f>IFERROR(VLOOKUP(B64 ,INVENTARIO!B67:C1000,2,0),"")</f>
        <v>30212-KML</v>
      </c>
      <c r="D64" s="71">
        <f>SUMIF(ENTRADAS!B:B,B64,ENTRADAS!D:D)</f>
        <v>9</v>
      </c>
      <c r="E64" s="71">
        <f>SUMIF(SALIDAS!B:B,B64,SALIDAS!D:D)</f>
        <v>0</v>
      </c>
      <c r="F64" s="89">
        <f t="shared" si="1"/>
        <v>9</v>
      </c>
      <c r="G64" s="90"/>
      <c r="H64" s="90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>
      <c r="A65" s="79"/>
      <c r="B65" s="88" t="s">
        <v>186</v>
      </c>
      <c r="C65" s="71" t="str">
        <f>IFERROR(VLOOKUP(B65 ,INVENTARIO!B68:C1000,2,0),"")</f>
        <v>30204 4T-30204</v>
      </c>
      <c r="D65" s="71">
        <f>SUMIF(ENTRADAS!B:B,B65,ENTRADAS!D:D)</f>
        <v>6</v>
      </c>
      <c r="E65" s="71">
        <f>SUMIF(SALIDAS!B:B,B65,SALIDAS!D:D)</f>
        <v>0</v>
      </c>
      <c r="F65" s="89">
        <f t="shared" si="1"/>
        <v>6</v>
      </c>
      <c r="G65" s="90"/>
      <c r="H65" s="90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>
      <c r="A66" s="79"/>
      <c r="B66" s="88" t="s">
        <v>188</v>
      </c>
      <c r="C66" s="71" t="str">
        <f>IFERROR(VLOOKUP(B66 ,INVENTARIO!B69:C1000,2,0),"")</f>
        <v>5205SCZZ/2AS</v>
      </c>
      <c r="D66" s="71">
        <f>SUMIF(ENTRADAS!B:B,B66,ENTRADAS!D:D)</f>
        <v>1</v>
      </c>
      <c r="E66" s="71">
        <f>SUMIF(SALIDAS!B:B,B66,SALIDAS!D:D)</f>
        <v>0</v>
      </c>
      <c r="F66" s="89">
        <f t="shared" si="1"/>
        <v>1</v>
      </c>
      <c r="G66" s="90"/>
      <c r="H66" s="90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79"/>
      <c r="B67" s="88" t="s">
        <v>191</v>
      </c>
      <c r="C67" s="71" t="str">
        <f>IFERROR(VLOOKUP(B67 ,INVENTARIO!B70:C1000,2,0),"")</f>
        <v>1604DCTNTG18</v>
      </c>
      <c r="D67" s="71">
        <f>SUMIF(ENTRADAS!B:B,B67,ENTRADAS!D:D)</f>
        <v>11</v>
      </c>
      <c r="E67" s="71">
        <f>SUMIF(SALIDAS!B:B,B67,SALIDAS!D:D)</f>
        <v>0</v>
      </c>
      <c r="F67" s="89">
        <f t="shared" si="1"/>
        <v>11</v>
      </c>
      <c r="G67" s="90"/>
      <c r="H67" s="90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>
      <c r="A68" s="79"/>
      <c r="B68" s="88" t="s">
        <v>193</v>
      </c>
      <c r="C68" s="71" t="str">
        <f>IFERROR(VLOOKUP(B68 ,INVENTARIO!B71:C1000,2,0),"")</f>
        <v>1621DCTNTG18</v>
      </c>
      <c r="D68" s="71">
        <f>SUMIF(ENTRADAS!B:B,B68,ENTRADAS!D:D)</f>
        <v>20</v>
      </c>
      <c r="E68" s="71">
        <f>SUMIF(SALIDAS!B:B,B68,SALIDAS!D:D)</f>
        <v>4</v>
      </c>
      <c r="F68" s="89">
        <f t="shared" si="1"/>
        <v>16</v>
      </c>
      <c r="G68" s="90"/>
      <c r="H68" s="90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>
      <c r="A69" s="79"/>
      <c r="B69" s="88" t="s">
        <v>195</v>
      </c>
      <c r="C69" s="71" t="str">
        <f>IFERROR(VLOOKUP(B69 ,INVENTARIO!B72:C1000,2,0),"")</f>
        <v>1630 LLUU</v>
      </c>
      <c r="D69" s="71">
        <f>SUMIF(ENTRADAS!B:B,B69,ENTRADAS!D:D)</f>
        <v>10</v>
      </c>
      <c r="E69" s="71">
        <f>SUMIF(SALIDAS!B:B,B69,SALIDAS!D:D)</f>
        <v>0</v>
      </c>
      <c r="F69" s="89">
        <f t="shared" si="1"/>
        <v>10</v>
      </c>
      <c r="G69" s="90"/>
      <c r="H69" s="90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>
      <c r="A70" s="79"/>
      <c r="B70" s="88" t="s">
        <v>200</v>
      </c>
      <c r="C70" s="71" t="str">
        <f>IFERROR(VLOOKUP(B70 ,INVENTARIO!B73:C1000,2,0),"")</f>
        <v>18X25X20</v>
      </c>
      <c r="D70" s="71">
        <f>SUMIF(ENTRADAS!B:B,B70,ENTRADAS!D:D)</f>
        <v>4</v>
      </c>
      <c r="E70" s="71">
        <f>SUMIF(SALIDAS!B:B,B70,SALIDAS!D:D)</f>
        <v>0</v>
      </c>
      <c r="F70" s="89">
        <f t="shared" si="1"/>
        <v>4</v>
      </c>
      <c r="G70" s="90"/>
      <c r="H70" s="90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</row>
    <row r="71">
      <c r="A71" s="79"/>
      <c r="B71" s="88" t="s">
        <v>206</v>
      </c>
      <c r="C71" s="71" t="str">
        <f>IFERROR(VLOOKUP(B71 ,INVENTARIO!B74:C1000,2,0),"")</f>
        <v>1220ZKL</v>
      </c>
      <c r="D71" s="71">
        <f>SUMIF(ENTRADAS!B:B,B71,ENTRADAS!D:D)</f>
        <v>2</v>
      </c>
      <c r="E71" s="71">
        <f>SUMIF(SALIDAS!B:B,B71,SALIDAS!D:D)</f>
        <v>0</v>
      </c>
      <c r="F71" s="89">
        <f t="shared" si="1"/>
        <v>2</v>
      </c>
      <c r="G71" s="90"/>
      <c r="H71" s="90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>
      <c r="A72" s="79"/>
      <c r="B72" s="88" t="s">
        <v>209</v>
      </c>
      <c r="C72" s="71" t="str">
        <f>IFERROR(VLOOKUP(B72 ,INVENTARIO!B75:C1000,2,0),"")</f>
        <v>R1581TV</v>
      </c>
      <c r="D72" s="71">
        <f>SUMIF(ENTRADAS!B:B,B72,ENTRADAS!D:D)</f>
        <v>8</v>
      </c>
      <c r="E72" s="71">
        <f>SUMIF(SALIDAS!B:B,B72,SALIDAS!D:D)</f>
        <v>0</v>
      </c>
      <c r="F72" s="89">
        <f t="shared" si="1"/>
        <v>8</v>
      </c>
      <c r="G72" s="90"/>
      <c r="H72" s="90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</row>
    <row r="73">
      <c r="A73" s="79"/>
      <c r="B73" s="88" t="s">
        <v>323</v>
      </c>
      <c r="C73" s="71" t="str">
        <f>IFERROR(VLOOKUP(B73 ,INVENTARIO!B76:C1000,2,0),"")</f>
        <v>6800LLU</v>
      </c>
      <c r="D73" s="71">
        <f>SUMIF(ENTRADAS!B:B,B73,ENTRADAS!D:D)</f>
        <v>73</v>
      </c>
      <c r="E73" s="71">
        <f>SUMIF(SALIDAS!B:B,B73,SALIDAS!D:D)</f>
        <v>25</v>
      </c>
      <c r="F73" s="89">
        <f t="shared" si="1"/>
        <v>48</v>
      </c>
      <c r="G73" s="90"/>
      <c r="H73" s="90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79"/>
      <c r="B74" s="88" t="s">
        <v>212</v>
      </c>
      <c r="C74" s="71" t="str">
        <f>IFERROR(VLOOKUP(B74 ,INVENTARIO!B77:C1000,2,0),"")</f>
        <v>4-387A-382A</v>
      </c>
      <c r="D74" s="71">
        <f>SUMIF(ENTRADAS!B:B,B74,ENTRADAS!D:D)</f>
        <v>6</v>
      </c>
      <c r="E74" s="71">
        <f>SUMIF(SALIDAS!B:B,B74,SALIDAS!D:D)</f>
        <v>0</v>
      </c>
      <c r="F74" s="89">
        <f t="shared" si="1"/>
        <v>6</v>
      </c>
      <c r="G74" s="90"/>
      <c r="H74" s="90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</row>
    <row r="75">
      <c r="A75" s="79"/>
      <c r="B75" s="88" t="s">
        <v>214</v>
      </c>
      <c r="C75" s="71" t="str">
        <f>IFERROR(VLOOKUP(B75 ,INVENTARIO!B78:C1000,2,0),"")</f>
        <v>Bancada de dos fijaciones para uc205</v>
      </c>
      <c r="D75" s="71">
        <f>SUMIF(ENTRADAS!B:B,B75,ENTRADAS!D:D)</f>
        <v>2</v>
      </c>
      <c r="E75" s="71">
        <f>SUMIF(SALIDAS!B:B,B75,SALIDAS!D:D)</f>
        <v>0</v>
      </c>
      <c r="F75" s="89">
        <f t="shared" si="1"/>
        <v>2</v>
      </c>
      <c r="G75" s="90"/>
      <c r="H75" s="90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79"/>
      <c r="B76" s="88" t="s">
        <v>216</v>
      </c>
      <c r="C76" s="71" t="str">
        <f>IFERROR(VLOOKUP(B76 ,INVENTARIO!B79:C1000,2,0),"")</f>
        <v>UCP211</v>
      </c>
      <c r="D76" s="71">
        <f>SUMIF(ENTRADAS!B:B,B76,ENTRADAS!D:D)</f>
        <v>4</v>
      </c>
      <c r="E76" s="71">
        <f>SUMIF(SALIDAS!B:B,B76,SALIDAS!D:D)</f>
        <v>0</v>
      </c>
      <c r="F76" s="89">
        <f t="shared" si="1"/>
        <v>4</v>
      </c>
      <c r="G76" s="90"/>
      <c r="H76" s="90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</row>
    <row r="77">
      <c r="A77" s="79"/>
      <c r="B77" s="88" t="s">
        <v>218</v>
      </c>
      <c r="C77" s="71" t="str">
        <f>IFERROR(VLOOKUP(B77 ,INVENTARIO!B80:C1000,2,0),"")</f>
        <v>UCP209</v>
      </c>
      <c r="D77" s="71">
        <f>SUMIF(ENTRADAS!B:B,B77,ENTRADAS!D:D)</f>
        <v>3</v>
      </c>
      <c r="E77" s="71">
        <f>SUMIF(SALIDAS!B:B,B77,SALIDAS!D:D)</f>
        <v>0</v>
      </c>
      <c r="F77" s="89">
        <f t="shared" si="1"/>
        <v>3</v>
      </c>
      <c r="G77" s="90"/>
      <c r="H77" s="90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>
      <c r="A78" s="79"/>
      <c r="B78" s="88" t="s">
        <v>223</v>
      </c>
      <c r="C78" s="71" t="str">
        <f>IFERROR(VLOOKUP(B78 ,INVENTARIO!B81:C1000,2,0),"")</f>
        <v>4T-382A</v>
      </c>
      <c r="D78" s="71">
        <f>SUMIF(ENTRADAS!B:B,B78,ENTRADAS!D:D)</f>
        <v>21</v>
      </c>
      <c r="E78" s="71">
        <f>SUMIF(SALIDAS!B:B,B78,SALIDAS!D:D)</f>
        <v>0</v>
      </c>
      <c r="F78" s="89">
        <f t="shared" si="1"/>
        <v>21</v>
      </c>
      <c r="G78" s="90"/>
      <c r="H78" s="90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</row>
    <row r="79">
      <c r="A79" s="79"/>
      <c r="B79" s="88" t="s">
        <v>226</v>
      </c>
      <c r="C79" s="71" t="str">
        <f>IFERROR(VLOOKUP(B79 ,INVENTARIO!B82:C1000,2,0),"")</f>
        <v>203KRR2</v>
      </c>
      <c r="D79" s="71">
        <f>SUMIF(ENTRADAS!B:B,B79,ENTRADAS!D:D)</f>
        <v>1</v>
      </c>
      <c r="E79" s="71">
        <f>SUMIF(SALIDAS!B:B,B79,SALIDAS!D:D)</f>
        <v>0</v>
      </c>
      <c r="F79" s="89">
        <f t="shared" si="1"/>
        <v>1</v>
      </c>
      <c r="G79" s="90"/>
      <c r="H79" s="90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>
      <c r="A80" s="79"/>
      <c r="B80" s="88" t="s">
        <v>228</v>
      </c>
      <c r="C80" s="71" t="str">
        <f>IFERROR(VLOOKUP(B80 ,INVENTARIO!B83:C1000,2,0),"")</f>
        <v>203KDD</v>
      </c>
      <c r="D80" s="71">
        <f>SUMIF(ENTRADAS!B:B,B80,ENTRADAS!D:D)</f>
        <v>1</v>
      </c>
      <c r="E80" s="71">
        <f>SUMIF(SALIDAS!B:B,B80,SALIDAS!D:D)</f>
        <v>1</v>
      </c>
      <c r="F80" s="89">
        <f t="shared" si="1"/>
        <v>0</v>
      </c>
      <c r="G80" s="90"/>
      <c r="H80" s="90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</row>
    <row r="81">
      <c r="A81" s="79"/>
      <c r="B81" s="88" t="s">
        <v>236</v>
      </c>
      <c r="C81" s="71" t="str">
        <f>IFERROR(VLOOKUP(B81 ,INVENTARIO!B84:C1000,2,0),"")</f>
        <v/>
      </c>
      <c r="D81" s="71">
        <f>SUMIF(ENTRADAS!B:B,B81,ENTRADAS!D:D)</f>
        <v>10</v>
      </c>
      <c r="E81" s="71">
        <f>SUMIF(SALIDAS!B:B,B81,SALIDAS!D:D)</f>
        <v>0</v>
      </c>
      <c r="F81" s="89">
        <f t="shared" si="1"/>
        <v>10</v>
      </c>
      <c r="G81" s="90"/>
      <c r="H81" s="90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>
      <c r="A82" s="79"/>
      <c r="B82" s="88" t="s">
        <v>237</v>
      </c>
      <c r="C82" s="71" t="str">
        <f>IFERROR(VLOOKUP(B82 ,INVENTARIO!B85:C1000,2,0),"")</f>
        <v>63310LLU 63310LLU/2AS</v>
      </c>
      <c r="D82" s="71">
        <f>SUMIF(ENTRADAS!B:B,B82,ENTRADAS!D:D)</f>
        <v>19</v>
      </c>
      <c r="E82" s="71">
        <f>SUMIF(SALIDAS!B:B,B82,SALIDAS!D:D)</f>
        <v>0</v>
      </c>
      <c r="F82" s="89">
        <f t="shared" si="1"/>
        <v>19</v>
      </c>
      <c r="G82" s="90"/>
      <c r="H82" s="90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</row>
    <row r="83">
      <c r="A83" s="79"/>
      <c r="B83" s="88" t="s">
        <v>239</v>
      </c>
      <c r="C83" s="71" t="str">
        <f>IFERROR(VLOOKUP(B83 ,INVENTARIO!B86:C1000,2,0),"")</f>
        <v>6000LLUC3</v>
      </c>
      <c r="D83" s="71">
        <f>SUMIF(ENTRADAS!B:B,B83,ENTRADAS!D:D)</f>
        <v>11</v>
      </c>
      <c r="E83" s="71">
        <f>SUMIF(SALIDAS!B:B,B83,SALIDAS!D:D)</f>
        <v>0</v>
      </c>
      <c r="F83" s="89">
        <f t="shared" si="1"/>
        <v>11</v>
      </c>
      <c r="G83" s="90"/>
      <c r="H83" s="90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>
      <c r="A84" s="79"/>
      <c r="B84" s="88" t="s">
        <v>244</v>
      </c>
      <c r="C84" s="71" t="str">
        <f>IFERROR(VLOOKUP(B84 ,INVENTARIO!B87:C1000,2,0),"")</f>
        <v>6003 LLU/C3 - 17X35X10</v>
      </c>
      <c r="D84" s="71">
        <f>SUMIF(ENTRADAS!B:B,B84,ENTRADAS!D:D)</f>
        <v>21</v>
      </c>
      <c r="E84" s="71">
        <f>SUMIF(SALIDAS!B:B,B84,SALIDAS!D:D)</f>
        <v>6</v>
      </c>
      <c r="F84" s="89">
        <f t="shared" si="1"/>
        <v>15</v>
      </c>
      <c r="G84" s="90"/>
      <c r="H84" s="90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</row>
    <row r="85">
      <c r="A85" s="79"/>
      <c r="B85" s="88" t="s">
        <v>246</v>
      </c>
      <c r="C85" s="71" t="str">
        <f>IFERROR(VLOOKUP(B85 ,INVENTARIO!B89:C1000,2,0),"")</f>
        <v/>
      </c>
      <c r="D85" s="71">
        <f>SUMIF(ENTRADAS!B:B,B85,ENTRADAS!D:D)</f>
        <v>24</v>
      </c>
      <c r="E85" s="71">
        <f>SUMIF(SALIDAS!B:B,B85,SALIDAS!D:D)</f>
        <v>7</v>
      </c>
      <c r="F85" s="89">
        <f t="shared" si="1"/>
        <v>17</v>
      </c>
      <c r="G85" s="90"/>
      <c r="H85" s="90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79"/>
      <c r="B86" s="88" t="s">
        <v>248</v>
      </c>
      <c r="C86" s="71" t="str">
        <f>IFERROR(VLOOKUP(B86 ,INVENTARIO!B90:C1000,2,0),"")</f>
        <v>6004-2RST/C3</v>
      </c>
      <c r="D86" s="71">
        <f>SUMIF(ENTRADAS!B:B,B86,ENTRADAS!D:D)</f>
        <v>20</v>
      </c>
      <c r="E86" s="71">
        <f>SUMIF(SALIDAS!B:B,B86,SALIDAS!D:D)</f>
        <v>17</v>
      </c>
      <c r="F86" s="89">
        <f t="shared" si="1"/>
        <v>3</v>
      </c>
      <c r="G86" s="90"/>
      <c r="H86" s="90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79"/>
      <c r="B87" s="88" t="s">
        <v>1891</v>
      </c>
      <c r="C87" s="71" t="str">
        <f>IFERROR(VLOOKUP(B87 ,INVENTARIO!B91:C1000,2,0),"")</f>
        <v/>
      </c>
      <c r="D87" s="71">
        <f>SUMIF(ENTRADAS!B:B,B87,ENTRADAS!D:D)</f>
        <v>10</v>
      </c>
      <c r="E87" s="71">
        <f>SUMIF(SALIDAS!B:B,B87,SALIDAS!D:D)</f>
        <v>0</v>
      </c>
      <c r="F87" s="89">
        <f t="shared" si="1"/>
        <v>10</v>
      </c>
      <c r="G87" s="90"/>
      <c r="H87" s="90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79"/>
      <c r="B88" s="88" t="s">
        <v>253</v>
      </c>
      <c r="C88" s="71" t="str">
        <f>IFERROR(VLOOKUP(B88 ,INVENTARIO!B92:C1000,2,0),"")</f>
        <v>6005LLUC3/ 6005LLUC3/2AS</v>
      </c>
      <c r="D88" s="71">
        <f>SUMIF(ENTRADAS!B:B,B88,ENTRADAS!D:D)</f>
        <v>17</v>
      </c>
      <c r="E88" s="71">
        <f>SUMIF(SALIDAS!B:B,B88,SALIDAS!D:D)</f>
        <v>7</v>
      </c>
      <c r="F88" s="89">
        <f t="shared" si="1"/>
        <v>10</v>
      </c>
      <c r="G88" s="90"/>
      <c r="H88" s="90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</row>
    <row r="89">
      <c r="A89" s="79"/>
      <c r="B89" s="88" t="s">
        <v>255</v>
      </c>
      <c r="C89" s="71" t="str">
        <f>IFERROR(VLOOKUP(B89 ,INVENTARIO!B93:C1000,2,0),"")</f>
        <v>6006-2RSC/3</v>
      </c>
      <c r="D89" s="71">
        <f>SUMIF(ENTRADAS!B:B,B89,ENTRADAS!D:D)</f>
        <v>16</v>
      </c>
      <c r="E89" s="71">
        <f>SUMIF(SALIDAS!B:B,B89,SALIDAS!D:D)</f>
        <v>6</v>
      </c>
      <c r="F89" s="89">
        <f t="shared" si="1"/>
        <v>10</v>
      </c>
      <c r="G89" s="90"/>
      <c r="H89" s="90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>
      <c r="A90" s="79"/>
      <c r="B90" s="88" t="s">
        <v>257</v>
      </c>
      <c r="C90" s="71" t="str">
        <f>IFERROR(VLOOKUP(B90 ,INVENTARIO!B94:C1000,2,0),"")</f>
        <v>6007LLUC3 6007LLUC3/2AS</v>
      </c>
      <c r="D90" s="71">
        <f>SUMIF(ENTRADAS!B:B,B90,ENTRADAS!D:D)</f>
        <v>21</v>
      </c>
      <c r="E90" s="71">
        <f>SUMIF(SALIDAS!B:B,B90,SALIDAS!D:D)</f>
        <v>6</v>
      </c>
      <c r="F90" s="89">
        <f t="shared" si="1"/>
        <v>15</v>
      </c>
      <c r="G90" s="90"/>
      <c r="H90" s="90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  <row r="91">
      <c r="A91" s="79"/>
      <c r="B91" s="88" t="s">
        <v>259</v>
      </c>
      <c r="C91" s="71" t="str">
        <f>IFERROR(VLOOKUP(B91 ,INVENTARIO!B96:C1000,2,0),"")</f>
        <v>6008LLUC3</v>
      </c>
      <c r="D91" s="71">
        <f>SUMIF(ENTRADAS!B:B,B91,ENTRADAS!D:D)</f>
        <v>8</v>
      </c>
      <c r="E91" s="71">
        <f>SUMIF(SALIDAS!B:B,B91,SALIDAS!D:D)</f>
        <v>0</v>
      </c>
      <c r="F91" s="89">
        <f t="shared" si="1"/>
        <v>8</v>
      </c>
      <c r="G91" s="90"/>
      <c r="H91" s="90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>
      <c r="A92" s="79"/>
      <c r="B92" s="88" t="s">
        <v>264</v>
      </c>
      <c r="C92" s="71" t="str">
        <f>IFERROR(VLOOKUP(B92 ,INVENTARIO!B97:C1000,2,0),"")</f>
        <v>6009 2RS</v>
      </c>
      <c r="D92" s="71">
        <f>SUMIF(ENTRADAS!B:B,B92,ENTRADAS!D:D)</f>
        <v>2</v>
      </c>
      <c r="E92" s="71">
        <f>SUMIF(SALIDAS!B:B,B92,SALIDAS!D:D)</f>
        <v>0</v>
      </c>
      <c r="F92" s="89">
        <f t="shared" si="1"/>
        <v>2</v>
      </c>
      <c r="G92" s="90"/>
      <c r="H92" s="90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</row>
    <row r="93">
      <c r="A93" s="79"/>
      <c r="B93" s="88" t="s">
        <v>267</v>
      </c>
      <c r="C93" s="71">
        <f>IFERROR(VLOOKUP(B93 ,INVENTARIO!B98:C1000,2,0),"")</f>
        <v>6013</v>
      </c>
      <c r="D93" s="71">
        <f>SUMIF(ENTRADAS!B:B,B93,ENTRADAS!D:D)</f>
        <v>10</v>
      </c>
      <c r="E93" s="71">
        <f>SUMIF(SALIDAS!B:B,B93,SALIDAS!D:D)</f>
        <v>0</v>
      </c>
      <c r="F93" s="89">
        <f t="shared" si="1"/>
        <v>10</v>
      </c>
      <c r="G93" s="90"/>
      <c r="H93" s="90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>
      <c r="A94" s="79"/>
      <c r="B94" s="88" t="s">
        <v>268</v>
      </c>
      <c r="C94" s="71" t="str">
        <f>IFERROR(VLOOKUP(B94 ,INVENTARIO!B99:C1000,2,0),"")</f>
        <v>6200-2RSC3</v>
      </c>
      <c r="D94" s="71">
        <f>SUMIF(ENTRADAS!B:B,B94,ENTRADAS!D:D)</f>
        <v>4</v>
      </c>
      <c r="E94" s="71">
        <f>SUMIF(SALIDAS!B:B,B94,SALIDAS!D:D)</f>
        <v>2</v>
      </c>
      <c r="F94" s="89">
        <f t="shared" si="1"/>
        <v>2</v>
      </c>
      <c r="G94" s="90"/>
      <c r="H94" s="90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</row>
    <row r="95">
      <c r="A95" s="79"/>
      <c r="B95" s="88" t="s">
        <v>270</v>
      </c>
      <c r="C95" s="71" t="str">
        <f>IFERROR(VLOOKUP(B95 ,INVENTARIO!B101:C1000,2,0),"")</f>
        <v>AEL202</v>
      </c>
      <c r="D95" s="71">
        <f>SUMIF(ENTRADAS!B:B,B95,ENTRADAS!D:D)</f>
        <v>8</v>
      </c>
      <c r="E95" s="71">
        <f>SUMIF(SALIDAS!B:B,B95,SALIDAS!D:D)</f>
        <v>0</v>
      </c>
      <c r="F95" s="89">
        <f t="shared" si="1"/>
        <v>8</v>
      </c>
      <c r="G95" s="90"/>
      <c r="H95" s="90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</row>
    <row r="96">
      <c r="A96" s="79"/>
      <c r="B96" s="88" t="s">
        <v>272</v>
      </c>
      <c r="C96" s="71" t="str">
        <f>IFERROR(VLOOKUP(B96 ,INVENTARIO!B102:C1000,2,0),"")</f>
        <v>6201LLUC3/2RS</v>
      </c>
      <c r="D96" s="71">
        <f>SUMIF(ENTRADAS!B:B,B96,ENTRADAS!D:D)</f>
        <v>10</v>
      </c>
      <c r="E96" s="71">
        <f>SUMIF(SALIDAS!B:B,B96,SALIDAS!D:D)</f>
        <v>5</v>
      </c>
      <c r="F96" s="89">
        <f t="shared" si="1"/>
        <v>5</v>
      </c>
      <c r="G96" s="90"/>
      <c r="H96" s="90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</row>
    <row r="97">
      <c r="A97" s="79"/>
      <c r="B97" s="88" t="s">
        <v>274</v>
      </c>
      <c r="C97" s="71" t="str">
        <f>IFERROR(VLOOKUP(B97 ,INVENTARIO!B103:C1000,2,0),"")</f>
        <v>203KRR</v>
      </c>
      <c r="D97" s="71">
        <f>SUMIF(ENTRADAS!B:B,B97,ENTRADAS!D:D)</f>
        <v>4</v>
      </c>
      <c r="E97" s="71">
        <f>SUMIF(SALIDAS!B:B,B97,SALIDAS!D:D)</f>
        <v>0</v>
      </c>
      <c r="F97" s="89">
        <f t="shared" si="1"/>
        <v>4</v>
      </c>
      <c r="G97" s="90"/>
      <c r="H97" s="90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</row>
    <row r="98">
      <c r="A98" s="79"/>
      <c r="B98" s="88" t="s">
        <v>276</v>
      </c>
      <c r="C98" s="71" t="str">
        <f>IFERROR(VLOOKUP(B98 ,INVENTARIO!B104:C1000,2,0),"")</f>
        <v>6201ZZC3 6201ZZC3</v>
      </c>
      <c r="D98" s="71">
        <f>SUMIF(ENTRADAS!B:B,B98,ENTRADAS!D:D)</f>
        <v>13</v>
      </c>
      <c r="E98" s="71">
        <f>SUMIF(SALIDAS!B:B,B98,SALIDAS!D:D)</f>
        <v>0</v>
      </c>
      <c r="F98" s="89">
        <f t="shared" si="1"/>
        <v>13</v>
      </c>
      <c r="G98" s="90"/>
      <c r="H98" s="90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</row>
    <row r="99">
      <c r="A99" s="79"/>
      <c r="B99" s="88" t="s">
        <v>278</v>
      </c>
      <c r="C99" s="71" t="str">
        <f>IFERROR(VLOOKUP(B99 ,INVENTARIO!B105:C1000,2,0),"")</f>
        <v>6202-2RS/C3 - 15X35X11</v>
      </c>
      <c r="D99" s="71">
        <f>SUMIF(ENTRADAS!B:B,B99,ENTRADAS!D:D)</f>
        <v>21</v>
      </c>
      <c r="E99" s="71">
        <f>SUMIF(SALIDAS!B:B,B99,SALIDAS!D:D)</f>
        <v>0</v>
      </c>
      <c r="F99" s="89">
        <f t="shared" si="1"/>
        <v>21</v>
      </c>
      <c r="G99" s="90"/>
      <c r="H99" s="90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</row>
    <row r="100">
      <c r="A100" s="79"/>
      <c r="B100" s="88" t="s">
        <v>280</v>
      </c>
      <c r="C100" s="71" t="str">
        <f>IFERROR(VLOOKUP(B100 ,INVENTARIO!B106:C1000,2,0),"")</f>
        <v>6202ZZC3/EM 6202XXC3/L627</v>
      </c>
      <c r="D100" s="71">
        <f>SUMIF(ENTRADAS!B:B,B100,ENTRADAS!D:D)</f>
        <v>1</v>
      </c>
      <c r="E100" s="71">
        <f>SUMIF(SALIDAS!B:B,B100,SALIDAS!D:D)</f>
        <v>0</v>
      </c>
      <c r="F100" s="89">
        <f t="shared" si="1"/>
        <v>1</v>
      </c>
      <c r="G100" s="90"/>
      <c r="H100" s="90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</row>
    <row r="101">
      <c r="A101" s="79"/>
      <c r="B101" s="88" t="s">
        <v>290</v>
      </c>
      <c r="C101" s="71" t="str">
        <f>IFERROR(VLOOKUP(B101 ,INVENTARIO!B107:C1000,2,0),"")</f>
        <v>6203 ZZ C3</v>
      </c>
      <c r="D101" s="71">
        <f>SUMIF(ENTRADAS!B:B,B101,ENTRADAS!D:D)</f>
        <v>10</v>
      </c>
      <c r="E101" s="71">
        <f>SUMIF(SALIDAS!B:B,B101,SALIDAS!D:D)</f>
        <v>0</v>
      </c>
      <c r="F101" s="89">
        <f t="shared" si="1"/>
        <v>10</v>
      </c>
      <c r="G101" s="90"/>
      <c r="H101" s="90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</row>
    <row r="102">
      <c r="A102" s="79"/>
      <c r="B102" s="88" t="s">
        <v>292</v>
      </c>
      <c r="C102" s="71" t="str">
        <f>IFERROR(VLOOKUP(B102 ,INVENTARIO!B108:C1000,2,0),"")</f>
        <v>6204LLUC3/EM 6204LLUC3/L627</v>
      </c>
      <c r="D102" s="71">
        <f>SUMIF(ENTRADAS!B:B,B102,ENTRADAS!D:D)</f>
        <v>7</v>
      </c>
      <c r="E102" s="71">
        <f>SUMIF(SALIDAS!B:B,B102,SALIDAS!D:D)</f>
        <v>2</v>
      </c>
      <c r="F102" s="89">
        <f t="shared" si="1"/>
        <v>5</v>
      </c>
      <c r="G102" s="90"/>
      <c r="H102" s="90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</row>
    <row r="103">
      <c r="A103" s="79"/>
      <c r="B103" s="88" t="s">
        <v>294</v>
      </c>
      <c r="C103" s="71" t="str">
        <f>IFERROR(VLOOKUP(B103 ,INVENTARIO!B109:C1000,2,0),"")</f>
        <v>6205-2RST/C3</v>
      </c>
      <c r="D103" s="71">
        <f>SUMIF(ENTRADAS!B:B,B103,ENTRADAS!D:D)</f>
        <v>7</v>
      </c>
      <c r="E103" s="71">
        <f>SUMIF(SALIDAS!B:B,B103,SALIDAS!D:D)</f>
        <v>4</v>
      </c>
      <c r="F103" s="89">
        <f t="shared" si="1"/>
        <v>3</v>
      </c>
      <c r="G103" s="90"/>
      <c r="H103" s="90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</row>
    <row r="104">
      <c r="A104" s="79"/>
      <c r="B104" s="88" t="s">
        <v>300</v>
      </c>
      <c r="C104" s="71" t="str">
        <f>IFERROR(VLOOKUP(B104 ,INVENTARIO!B110:C1000,2,0),"")</f>
        <v>6206 ZZ/C3</v>
      </c>
      <c r="D104" s="71">
        <f>SUMIF(ENTRADAS!B:B,B104,ENTRADAS!D:D)</f>
        <v>6</v>
      </c>
      <c r="E104" s="71">
        <f>SUMIF(SALIDAS!B:B,B104,SALIDAS!D:D)</f>
        <v>0</v>
      </c>
      <c r="F104" s="89">
        <f t="shared" si="1"/>
        <v>6</v>
      </c>
      <c r="G104" s="90"/>
      <c r="H104" s="90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>
      <c r="A105" s="79"/>
      <c r="B105" s="88" t="s">
        <v>298</v>
      </c>
      <c r="C105" s="71" t="str">
        <f>IFERROR(VLOOKUP(B105 ,INVENTARIO!B111:C1000,2,0),"")</f>
        <v>6206LLUC3 6206 LLUC3/2AS</v>
      </c>
      <c r="D105" s="71">
        <f>SUMIF(ENTRADAS!B:B,B105,ENTRADAS!D:D)</f>
        <v>2</v>
      </c>
      <c r="E105" s="71">
        <f>SUMIF(SALIDAS!B:B,B105,SALIDAS!D:D)</f>
        <v>3</v>
      </c>
      <c r="F105" s="89">
        <f t="shared" si="1"/>
        <v>-1</v>
      </c>
      <c r="G105" s="90"/>
      <c r="H105" s="90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79"/>
      <c r="B106" s="88" t="s">
        <v>303</v>
      </c>
      <c r="C106" s="71" t="str">
        <f>IFERROR(VLOOKUP(B106 ,INVENTARIO!B112:C1000,2,0),"")</f>
        <v>6207LLUU/C3</v>
      </c>
      <c r="D106" s="71">
        <f>SUMIF(ENTRADAS!B:B,B106,ENTRADAS!D:D)</f>
        <v>4</v>
      </c>
      <c r="E106" s="71">
        <f>SUMIF(SALIDAS!B:B,B106,SALIDAS!D:D)</f>
        <v>0</v>
      </c>
      <c r="F106" s="89">
        <f t="shared" si="1"/>
        <v>4</v>
      </c>
      <c r="G106" s="90"/>
      <c r="H106" s="90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>
      <c r="A107" s="79"/>
      <c r="B107" s="88" t="s">
        <v>306</v>
      </c>
      <c r="C107" s="71" t="str">
        <f>IFERROR(VLOOKUP(B107 ,INVENTARIO!B114:C1000,2,0),"")</f>
        <v>6209LLUC3 6209LLUC3/2AS</v>
      </c>
      <c r="D107" s="71">
        <f>SUMIF(ENTRADAS!B:B,B107,ENTRADAS!D:D)</f>
        <v>10</v>
      </c>
      <c r="E107" s="71">
        <f>SUMIF(SALIDAS!B:B,B107,SALIDAS!D:D)</f>
        <v>2</v>
      </c>
      <c r="F107" s="89">
        <f t="shared" si="1"/>
        <v>8</v>
      </c>
      <c r="G107" s="90"/>
      <c r="H107" s="90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</row>
    <row r="108">
      <c r="A108" s="79"/>
      <c r="B108" s="88" t="s">
        <v>309</v>
      </c>
      <c r="C108" s="71" t="str">
        <f>IFERROR(VLOOKUP(B108 ,INVENTARIO!B115:C1000,2,0),"")</f>
        <v>6210LLUC3</v>
      </c>
      <c r="D108" s="71">
        <f>SUMIF(ENTRADAS!B:B,B108,ENTRADAS!D:D)</f>
        <v>10</v>
      </c>
      <c r="E108" s="71">
        <f>SUMIF(SALIDAS!B:B,B108,SALIDAS!D:D)</f>
        <v>0</v>
      </c>
      <c r="F108" s="89">
        <f t="shared" si="1"/>
        <v>10</v>
      </c>
      <c r="G108" s="90"/>
      <c r="H108" s="90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</row>
    <row r="109">
      <c r="A109" s="79"/>
      <c r="B109" s="88" t="s">
        <v>312</v>
      </c>
      <c r="C109" s="71" t="str">
        <f>IFERROR(VLOOKUP(B109 ,INVENTARIO!B116:C1000,2,0),"")</f>
        <v>6302 2RSR/C3.J22C</v>
      </c>
      <c r="D109" s="71">
        <f>SUMIF(ENTRADAS!B:B,B109,ENTRADAS!D:D)</f>
        <v>12</v>
      </c>
      <c r="E109" s="71">
        <f>SUMIF(SALIDAS!B:B,B109,SALIDAS!D:D)</f>
        <v>2</v>
      </c>
      <c r="F109" s="89">
        <f t="shared" si="1"/>
        <v>10</v>
      </c>
      <c r="G109" s="90"/>
      <c r="H109" s="90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</row>
    <row r="110">
      <c r="A110" s="79"/>
      <c r="B110" s="88" t="s">
        <v>314</v>
      </c>
      <c r="C110" s="71" t="str">
        <f>IFERROR(VLOOKUP(B110 ,INVENTARIO!B117:C1000,2,0),"")</f>
        <v>6304/2RS-C3</v>
      </c>
      <c r="D110" s="71">
        <f>SUMIF(ENTRADAS!B:B,B110,ENTRADAS!D:D)</f>
        <v>3</v>
      </c>
      <c r="E110" s="71">
        <f>SUMIF(SALIDAS!B:B,B110,SALIDAS!D:D)</f>
        <v>2</v>
      </c>
      <c r="F110" s="89">
        <f t="shared" si="1"/>
        <v>1</v>
      </c>
      <c r="G110" s="90"/>
      <c r="H110" s="90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</row>
    <row r="111">
      <c r="A111" s="79"/>
      <c r="B111" s="88" t="s">
        <v>318</v>
      </c>
      <c r="C111" s="71" t="str">
        <f>IFERROR(VLOOKUP(B111 ,INVENTARIO!B118:C1000,2,0),"")</f>
        <v>6307 2RS</v>
      </c>
      <c r="D111" s="71">
        <f>SUMIF(ENTRADAS!B:B,B111,ENTRADAS!D:D)</f>
        <v>10</v>
      </c>
      <c r="E111" s="71">
        <f>SUMIF(SALIDAS!B:B,B111,SALIDAS!D:D)</f>
        <v>2</v>
      </c>
      <c r="F111" s="89">
        <f t="shared" si="1"/>
        <v>8</v>
      </c>
      <c r="G111" s="90"/>
      <c r="H111" s="90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</row>
    <row r="112">
      <c r="A112" s="79"/>
      <c r="B112" s="88" t="s">
        <v>320</v>
      </c>
      <c r="C112" s="71" t="str">
        <f>IFERROR(VLOOKUP(B112 ,INVENTARIO!B119:C1000,2,0),"")</f>
        <v>6310LLUC3/2AS</v>
      </c>
      <c r="D112" s="71">
        <f>SUMIF(ENTRADAS!B:B,B112,ENTRADAS!D:D)</f>
        <v>8</v>
      </c>
      <c r="E112" s="71">
        <f>SUMIF(SALIDAS!B:B,B112,SALIDAS!D:D)</f>
        <v>0</v>
      </c>
      <c r="F112" s="89">
        <f t="shared" si="1"/>
        <v>8</v>
      </c>
      <c r="G112" s="90"/>
      <c r="H112" s="90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</row>
    <row r="113">
      <c r="A113" s="79"/>
      <c r="B113" s="88" t="s">
        <v>326</v>
      </c>
      <c r="C113" s="71" t="str">
        <f>IFERROR(VLOOKUP(B113 ,INVENTARIO!B120:C1000,2,0),"")</f>
        <v>6904LLUC3 6904LLUC3/2AS</v>
      </c>
      <c r="D113" s="71">
        <f>SUMIF(ENTRADAS!B:B,B113,ENTRADAS!D:D)</f>
        <v>2</v>
      </c>
      <c r="E113" s="71">
        <f>SUMIF(SALIDAS!B:B,B113,SALIDAS!D:D)</f>
        <v>0</v>
      </c>
      <c r="F113" s="89">
        <f t="shared" si="1"/>
        <v>2</v>
      </c>
      <c r="G113" s="90"/>
      <c r="H113" s="90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>
      <c r="A114" s="79"/>
      <c r="B114" s="88" t="s">
        <v>328</v>
      </c>
      <c r="C114" s="71" t="str">
        <f>IFERROR(VLOOKUP(B114 ,INVENTARIO!B121:C1000,2,0),"")</f>
        <v>22.207CCW33/C3</v>
      </c>
      <c r="D114" s="71">
        <f>SUMIF(ENTRADAS!B:B,B114,ENTRADAS!D:D)</f>
        <v>7</v>
      </c>
      <c r="E114" s="71">
        <f>SUMIF(SALIDAS!B:B,B114,SALIDAS!D:D)</f>
        <v>0</v>
      </c>
      <c r="F114" s="89">
        <f t="shared" si="1"/>
        <v>7</v>
      </c>
      <c r="G114" s="90"/>
      <c r="H114" s="90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</row>
    <row r="115">
      <c r="A115" s="79"/>
      <c r="B115" s="88" t="s">
        <v>333</v>
      </c>
      <c r="C115" s="71" t="str">
        <f>IFERROR(VLOOKUP(B115 ,INVENTARIO!B122:C1000,2,0),"")</f>
        <v>61903-2Z</v>
      </c>
      <c r="D115" s="71">
        <f>SUMIF(ENTRADAS!B:B,B115,ENTRADAS!D:D)</f>
        <v>2</v>
      </c>
      <c r="E115" s="71">
        <f>SUMIF(SALIDAS!B:B,B115,SALIDAS!D:D)</f>
        <v>0</v>
      </c>
      <c r="F115" s="89">
        <f t="shared" si="1"/>
        <v>2</v>
      </c>
      <c r="G115" s="90"/>
      <c r="H115" s="90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>
      <c r="A116" s="79"/>
      <c r="B116" s="88" t="s">
        <v>335</v>
      </c>
      <c r="C116" s="71" t="str">
        <f>IFERROR(VLOOKUP(B116 ,INVENTARIO!B123:C1000,2,0),"")</f>
        <v/>
      </c>
      <c r="D116" s="71">
        <f>SUMIF(ENTRADAS!B:B,B116,ENTRADAS!D:D)</f>
        <v>2</v>
      </c>
      <c r="E116" s="71">
        <f>SUMIF(SALIDAS!B:B,B116,SALIDAS!D:D)</f>
        <v>0</v>
      </c>
      <c r="F116" s="89">
        <f t="shared" si="1"/>
        <v>2</v>
      </c>
      <c r="G116" s="90"/>
      <c r="H116" s="90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</row>
    <row r="117">
      <c r="A117" s="79"/>
      <c r="B117" s="88" t="s">
        <v>336</v>
      </c>
      <c r="C117" s="71" t="str">
        <f>IFERROR(VLOOKUP(B117 ,INVENTARIO!B124:C1000,2,0),"")</f>
        <v/>
      </c>
      <c r="D117" s="71">
        <f>SUMIF(ENTRADAS!B:B,B117,ENTRADAS!D:D)</f>
        <v>1</v>
      </c>
      <c r="E117" s="71">
        <f>SUMIF(SALIDAS!B:B,B117,SALIDAS!D:D)</f>
        <v>0</v>
      </c>
      <c r="F117" s="89">
        <f t="shared" si="1"/>
        <v>1</v>
      </c>
      <c r="G117" s="90"/>
      <c r="H117" s="90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>
      <c r="A118" s="79"/>
      <c r="B118" s="88" t="s">
        <v>338</v>
      </c>
      <c r="C118" s="71" t="str">
        <f>IFERROR(VLOOKUP(B118 ,INVENTARIO!B125:C1000,2,0),"")</f>
        <v/>
      </c>
      <c r="D118" s="71">
        <f>SUMIF(ENTRADAS!B:B,B118,ENTRADAS!D:D)</f>
        <v>3</v>
      </c>
      <c r="E118" s="71">
        <f>SUMIF(SALIDAS!B:B,B118,SALIDAS!D:D)</f>
        <v>0</v>
      </c>
      <c r="F118" s="89">
        <f t="shared" si="1"/>
        <v>3</v>
      </c>
      <c r="G118" s="90"/>
      <c r="H118" s="90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</row>
    <row r="119">
      <c r="A119" s="79"/>
      <c r="B119" s="88" t="s">
        <v>339</v>
      </c>
      <c r="C119" s="71">
        <f>IFERROR(VLOOKUP(B119 ,INVENTARIO!B126:C1000,2,0),"")</f>
        <v>6903</v>
      </c>
      <c r="D119" s="71">
        <f>SUMIF(ENTRADAS!B:B,B119,ENTRADAS!D:D)</f>
        <v>41</v>
      </c>
      <c r="E119" s="71">
        <f>SUMIF(SALIDAS!B:B,B119,SALIDAS!D:D)</f>
        <v>26</v>
      </c>
      <c r="F119" s="89">
        <f t="shared" si="1"/>
        <v>15</v>
      </c>
      <c r="G119" s="90"/>
      <c r="H119" s="90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</row>
    <row r="120">
      <c r="A120" s="79"/>
      <c r="B120" s="88" t="s">
        <v>340</v>
      </c>
      <c r="C120" s="71" t="str">
        <f>IFERROR(VLOOKUP(B120 ,INVENTARIO!B127:C1000,2,0),"")</f>
        <v>rodamiento 62304 a bolilla, tensores piñones ingreso a coronas de tracción enfriador</v>
      </c>
      <c r="D120" s="71">
        <f>SUMIF(ENTRADAS!B:B,B120,ENTRADAS!D:D)</f>
        <v>1</v>
      </c>
      <c r="E120" s="71">
        <f>SUMIF(SALIDAS!B:B,B120,SALIDAS!D:D)</f>
        <v>0</v>
      </c>
      <c r="F120" s="89">
        <f t="shared" si="1"/>
        <v>1</v>
      </c>
      <c r="G120" s="90"/>
      <c r="H120" s="90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</row>
    <row r="121">
      <c r="A121" s="79"/>
      <c r="B121" s="88" t="s">
        <v>342</v>
      </c>
      <c r="C121" s="71" t="str">
        <f>IFERROR(VLOOKUP(B121 ,INVENTARIO!B128:C1000,2,0),"")</f>
        <v/>
      </c>
      <c r="D121" s="71">
        <f>SUMIF(ENTRADAS!B:B,B121,ENTRADAS!D:D)</f>
        <v>2</v>
      </c>
      <c r="E121" s="71">
        <f>SUMIF(SALIDAS!B:B,B121,SALIDAS!D:D)</f>
        <v>0</v>
      </c>
      <c r="F121" s="89">
        <f t="shared" si="1"/>
        <v>2</v>
      </c>
      <c r="G121" s="90"/>
      <c r="H121" s="90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</row>
    <row r="122">
      <c r="A122" s="79"/>
      <c r="B122" s="88" t="s">
        <v>343</v>
      </c>
      <c r="C122" s="71" t="str">
        <f>IFERROR(VLOOKUP(B122 ,INVENTARIO!B129:C1000,2,0),"")</f>
        <v>P209</v>
      </c>
      <c r="D122" s="71">
        <f>SUMIF(ENTRADAS!B:B,B122,ENTRADAS!D:D)</f>
        <v>2</v>
      </c>
      <c r="E122" s="71">
        <f>SUMIF(SALIDAS!B:B,B122,SALIDAS!D:D)</f>
        <v>0</v>
      </c>
      <c r="F122" s="89">
        <f t="shared" si="1"/>
        <v>2</v>
      </c>
      <c r="G122" s="90"/>
      <c r="H122" s="90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</row>
    <row r="123">
      <c r="A123" s="79"/>
      <c r="B123" s="88" t="s">
        <v>346</v>
      </c>
      <c r="C123" s="71" t="str">
        <f>IFERROR(VLOOKUP(B123 ,INVENTARIO!B130:C1000,2,0),"")</f>
        <v>F206</v>
      </c>
      <c r="D123" s="71">
        <f>SUMIF(ENTRADAS!B:B,B123,ENTRADAS!D:D)</f>
        <v>2</v>
      </c>
      <c r="E123" s="71">
        <f>SUMIF(SALIDAS!B:B,B123,SALIDAS!D:D)</f>
        <v>0</v>
      </c>
      <c r="F123" s="89">
        <f t="shared" si="1"/>
        <v>2</v>
      </c>
      <c r="G123" s="90"/>
      <c r="H123" s="90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</row>
    <row r="124">
      <c r="A124" s="79"/>
      <c r="B124" s="88" t="s">
        <v>349</v>
      </c>
      <c r="C124" s="71" t="str">
        <f>IFERROR(VLOOKUP(B124 ,INVENTARIO!B131:C1000,2,0),"")</f>
        <v>P214</v>
      </c>
      <c r="D124" s="71">
        <f>SUMIF(ENTRADAS!B:B,B124,ENTRADAS!D:D)</f>
        <v>5</v>
      </c>
      <c r="E124" s="71">
        <f>SUMIF(SALIDAS!B:B,B124,SALIDAS!D:D)</f>
        <v>0</v>
      </c>
      <c r="F124" s="89">
        <f t="shared" si="1"/>
        <v>5</v>
      </c>
      <c r="G124" s="90"/>
      <c r="H124" s="90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</row>
    <row r="125">
      <c r="A125" s="79"/>
      <c r="B125" s="88" t="s">
        <v>352</v>
      </c>
      <c r="C125" s="71" t="str">
        <f>IFERROR(VLOOKUP(B125 ,INVENTARIO!B132:C1000,2,0),"")</f>
        <v>P211</v>
      </c>
      <c r="D125" s="71">
        <f>SUMIF(ENTRADAS!B:B,B125,ENTRADAS!D:D)</f>
        <v>4</v>
      </c>
      <c r="E125" s="71">
        <f>SUMIF(SALIDAS!B:B,B125,SALIDAS!D:D)</f>
        <v>1</v>
      </c>
      <c r="F125" s="89">
        <f t="shared" si="1"/>
        <v>3</v>
      </c>
      <c r="G125" s="90"/>
      <c r="H125" s="90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</row>
    <row r="126">
      <c r="A126" s="79"/>
      <c r="B126" s="88" t="s">
        <v>355</v>
      </c>
      <c r="C126" s="71" t="str">
        <f>IFERROR(VLOOKUP(B126 ,INVENTARIO!B133:C1000,2,0),"")</f>
        <v>509-omegas</v>
      </c>
      <c r="D126" s="71">
        <f>SUMIF(ENTRADAS!B:B,B126,ENTRADAS!D:D)</f>
        <v>5</v>
      </c>
      <c r="E126" s="71">
        <f>SUMIF(SALIDAS!B:B,B126,SALIDAS!D:D)</f>
        <v>0</v>
      </c>
      <c r="F126" s="89">
        <f t="shared" si="1"/>
        <v>5</v>
      </c>
      <c r="G126" s="90"/>
      <c r="H126" s="90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</row>
    <row r="127">
      <c r="A127" s="79"/>
      <c r="B127" s="88" t="s">
        <v>358</v>
      </c>
      <c r="C127" s="71" t="str">
        <f>IFERROR(VLOOKUP(B127 ,INVENTARIO!B134:C1000,2,0),"")</f>
        <v>F205</v>
      </c>
      <c r="D127" s="71">
        <f>SUMIF(ENTRADAS!B:B,B127,ENTRADAS!D:D)</f>
        <v>13</v>
      </c>
      <c r="E127" s="71">
        <f>SUMIF(SALIDAS!B:B,B127,SALIDAS!D:D)</f>
        <v>0</v>
      </c>
      <c r="F127" s="89">
        <f t="shared" si="1"/>
        <v>13</v>
      </c>
      <c r="G127" s="90"/>
      <c r="H127" s="90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</row>
    <row r="128">
      <c r="A128" s="79"/>
      <c r="B128" s="88" t="s">
        <v>361</v>
      </c>
      <c r="C128" s="71" t="str">
        <f>IFERROR(VLOOKUP(B128 ,INVENTARIO!B135:C1000,2,0),"")</f>
        <v>Bancada</v>
      </c>
      <c r="D128" s="71">
        <f>SUMIF(ENTRADAS!B:B,B128,ENTRADAS!D:D)</f>
        <v>4</v>
      </c>
      <c r="E128" s="71">
        <f>SUMIF(SALIDAS!B:B,B128,SALIDAS!D:D)</f>
        <v>0</v>
      </c>
      <c r="F128" s="89">
        <f t="shared" si="1"/>
        <v>4</v>
      </c>
      <c r="G128" s="90"/>
      <c r="H128" s="90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>
      <c r="A129" s="79"/>
      <c r="B129" s="88" t="s">
        <v>364</v>
      </c>
      <c r="C129" s="71" t="str">
        <f>IFERROR(VLOOKUP(B129 ,INVENTARIO!B136:C1000,2,0),"")</f>
        <v>UCFL204</v>
      </c>
      <c r="D129" s="71">
        <f>SUMIF(ENTRADAS!B:B,B129,ENTRADAS!D:D)</f>
        <v>2</v>
      </c>
      <c r="E129" s="71">
        <f>SUMIF(SALIDAS!B:B,B129,SALIDAS!D:D)</f>
        <v>1</v>
      </c>
      <c r="F129" s="89">
        <f t="shared" si="1"/>
        <v>1</v>
      </c>
      <c r="G129" s="90"/>
      <c r="H129" s="90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</row>
    <row r="130">
      <c r="A130" s="79"/>
      <c r="B130" s="88" t="s">
        <v>366</v>
      </c>
      <c r="C130" s="71" t="str">
        <f>IFERROR(VLOOKUP(B130 ,INVENTARIO!B137:C1000,2,0),"")</f>
        <v>5212SC3</v>
      </c>
      <c r="D130" s="71">
        <f>SUMIF(ENTRADAS!B:B,B130,ENTRADAS!D:D)</f>
        <v>11</v>
      </c>
      <c r="E130" s="71">
        <f>SUMIF(SALIDAS!B:B,B130,SALIDAS!D:D)</f>
        <v>0</v>
      </c>
      <c r="F130" s="89">
        <f t="shared" si="1"/>
        <v>11</v>
      </c>
      <c r="G130" s="90"/>
      <c r="H130" s="90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</row>
    <row r="131">
      <c r="A131" s="79"/>
      <c r="B131" s="88" t="s">
        <v>369</v>
      </c>
      <c r="C131" s="71" t="str">
        <f>IFERROR(VLOOKUP(B131 ,INVENTARIO!B138:C1000,2,0),"")</f>
        <v>FL205 +ROD</v>
      </c>
      <c r="D131" s="71">
        <f>SUMIF(ENTRADAS!B:B,B131,ENTRADAS!D:D)</f>
        <v>5</v>
      </c>
      <c r="E131" s="71">
        <f>SUMIF(SALIDAS!B:B,B131,SALIDAS!D:D)</f>
        <v>1</v>
      </c>
      <c r="F131" s="89">
        <f t="shared" si="1"/>
        <v>4</v>
      </c>
      <c r="G131" s="90"/>
      <c r="H131" s="90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</row>
    <row r="132">
      <c r="A132" s="79"/>
      <c r="B132" s="88" t="s">
        <v>371</v>
      </c>
      <c r="C132" s="71" t="str">
        <f>IFERROR(VLOOKUP(B132 ,INVENTARIO!B140:C1000,2,0),"")</f>
        <v>GYE30KRRB SGT</v>
      </c>
      <c r="D132" s="71">
        <f>SUMIF(ENTRADAS!B:B,B132,ENTRADAS!D:D)</f>
        <v>2</v>
      </c>
      <c r="E132" s="71">
        <f>SUMIF(SALIDAS!B:B,B132,SALIDAS!D:D)</f>
        <v>0</v>
      </c>
      <c r="F132" s="89">
        <f t="shared" si="1"/>
        <v>2</v>
      </c>
      <c r="G132" s="90"/>
      <c r="H132" s="90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</row>
    <row r="133">
      <c r="A133" s="79"/>
      <c r="B133" s="88" t="s">
        <v>373</v>
      </c>
      <c r="C133" s="71" t="str">
        <f>IFERROR(VLOOKUP(B133 ,INVENTARIO!B141:C1000,2,0),"")</f>
        <v>FC208</v>
      </c>
      <c r="D133" s="71">
        <f>SUMIF(ENTRADAS!B:B,B133,ENTRADAS!D:D)</f>
        <v>2</v>
      </c>
      <c r="E133" s="71">
        <f>SUMIF(SALIDAS!B:B,B133,SALIDAS!D:D)</f>
        <v>0</v>
      </c>
      <c r="F133" s="89">
        <f t="shared" si="1"/>
        <v>2</v>
      </c>
      <c r="G133" s="90"/>
      <c r="H133" s="90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</row>
    <row r="134">
      <c r="A134" s="79"/>
      <c r="B134" s="88" t="s">
        <v>375</v>
      </c>
      <c r="C134" s="71" t="str">
        <f>IFERROR(VLOOKUP(B134 ,INVENTARIO!B142:C1000,2,0),"")</f>
        <v>T-208</v>
      </c>
      <c r="D134" s="71">
        <f>SUMIF(ENTRADAS!B:B,B134,ENTRADAS!D:D)</f>
        <v>1</v>
      </c>
      <c r="E134" s="71">
        <f>SUMIF(SALIDAS!B:B,B134,SALIDAS!D:D)</f>
        <v>0</v>
      </c>
      <c r="F134" s="89">
        <f t="shared" si="1"/>
        <v>1</v>
      </c>
      <c r="G134" s="90"/>
      <c r="H134" s="90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</row>
    <row r="135">
      <c r="A135" s="79"/>
      <c r="B135" s="88" t="s">
        <v>380</v>
      </c>
      <c r="C135" s="71" t="str">
        <f>IFERROR(VLOOKUP(B135 ,INVENTARIO!B143:C1000,2,0),"")</f>
        <v/>
      </c>
      <c r="D135" s="71">
        <f>SUMIF(ENTRADAS!B:B,B135,ENTRADAS!D:D)</f>
        <v>2</v>
      </c>
      <c r="E135" s="71">
        <f>SUMIF(SALIDAS!B:B,B135,SALIDAS!D:D)</f>
        <v>0</v>
      </c>
      <c r="F135" s="89">
        <f t="shared" si="1"/>
        <v>2</v>
      </c>
      <c r="G135" s="90"/>
      <c r="H135" s="90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</row>
    <row r="136">
      <c r="A136" s="79"/>
      <c r="B136" s="88" t="s">
        <v>381</v>
      </c>
      <c r="C136" s="71">
        <f>IFERROR(VLOOKUP(B136 ,INVENTARIO!B144:C1000,2,0),"")</f>
        <v>22207</v>
      </c>
      <c r="D136" s="71">
        <f>SUMIF(ENTRADAS!B:B,B136,ENTRADAS!D:D)</f>
        <v>1</v>
      </c>
      <c r="E136" s="71">
        <f>SUMIF(SALIDAS!B:B,B136,SALIDAS!D:D)</f>
        <v>0</v>
      </c>
      <c r="F136" s="89">
        <f t="shared" si="1"/>
        <v>1</v>
      </c>
      <c r="G136" s="90"/>
      <c r="H136" s="90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</row>
    <row r="137">
      <c r="A137" s="79"/>
      <c r="B137" s="88" t="s">
        <v>382</v>
      </c>
      <c r="C137" s="71" t="str">
        <f>IFERROR(VLOOKUP(B137 ,INVENTARIO!B145:C1000,2,0),"")</f>
        <v>YAR- 206-104</v>
      </c>
      <c r="D137" s="71">
        <f>SUMIF(ENTRADAS!B:B,B137,ENTRADAS!D:D)</f>
        <v>4</v>
      </c>
      <c r="E137" s="71">
        <f>SUMIF(SALIDAS!B:B,B137,SALIDAS!D:D)</f>
        <v>0</v>
      </c>
      <c r="F137" s="89">
        <f t="shared" si="1"/>
        <v>4</v>
      </c>
      <c r="G137" s="90"/>
      <c r="H137" s="90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</row>
    <row r="138">
      <c r="A138" s="79"/>
      <c r="B138" s="88" t="s">
        <v>384</v>
      </c>
      <c r="C138" s="71" t="str">
        <f>IFERROR(VLOOKUP(B138 ,INVENTARIO!B146:C1000,2,0),"")</f>
        <v>tapon</v>
      </c>
      <c r="D138" s="71">
        <f>SUMIF(ENTRADAS!B:B,B138,ENTRADAS!D:D)</f>
        <v>6</v>
      </c>
      <c r="E138" s="71">
        <f>SUMIF(SALIDAS!B:B,B138,SALIDAS!D:D)</f>
        <v>0</v>
      </c>
      <c r="F138" s="89">
        <f t="shared" si="1"/>
        <v>6</v>
      </c>
      <c r="G138" s="90"/>
      <c r="H138" s="90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</row>
    <row r="139">
      <c r="A139" s="79"/>
      <c r="B139" s="88" t="s">
        <v>386</v>
      </c>
      <c r="C139" s="71" t="str">
        <f>IFERROR(VLOOKUP(B139 ,INVENTARIO!B147:C1000,2,0),"")</f>
        <v>tapon</v>
      </c>
      <c r="D139" s="71">
        <f>SUMIF(ENTRADAS!B:B,B139,ENTRADAS!D:D)</f>
        <v>7</v>
      </c>
      <c r="E139" s="71">
        <f>SUMIF(SALIDAS!B:B,B139,SALIDAS!D:D)</f>
        <v>0</v>
      </c>
      <c r="F139" s="89">
        <f t="shared" si="1"/>
        <v>7</v>
      </c>
      <c r="G139" s="90"/>
      <c r="H139" s="90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</row>
    <row r="140">
      <c r="A140" s="79"/>
      <c r="B140" s="88" t="s">
        <v>387</v>
      </c>
      <c r="C140" s="71" t="str">
        <f>IFERROR(VLOOKUP(B140 ,INVENTARIO!B148:C1000,2,0),"")</f>
        <v>tapon</v>
      </c>
      <c r="D140" s="71">
        <f>SUMIF(ENTRADAS!B:B,B140,ENTRADAS!D:D)</f>
        <v>8</v>
      </c>
      <c r="E140" s="71">
        <f>SUMIF(SALIDAS!B:B,B140,SALIDAS!D:D)</f>
        <v>0</v>
      </c>
      <c r="F140" s="89">
        <f t="shared" si="1"/>
        <v>8</v>
      </c>
      <c r="G140" s="90"/>
      <c r="H140" s="90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>
      <c r="A141" s="79"/>
      <c r="B141" s="88" t="s">
        <v>388</v>
      </c>
      <c r="C141" s="71" t="str">
        <f>IFERROR(VLOOKUP(B141 ,INVENTARIO!B149:C1000,2,0),"")</f>
        <v>entre rosca</v>
      </c>
      <c r="D141" s="71">
        <f>SUMIF(ENTRADAS!B:B,B141,ENTRADAS!D:D)</f>
        <v>7</v>
      </c>
      <c r="E141" s="71">
        <f>SUMIF(SALIDAS!B:B,B141,SALIDAS!D:D)</f>
        <v>0</v>
      </c>
      <c r="F141" s="89">
        <f t="shared" si="1"/>
        <v>7</v>
      </c>
      <c r="G141" s="90"/>
      <c r="H141" s="90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</row>
    <row r="142">
      <c r="A142" s="79"/>
      <c r="B142" s="88" t="s">
        <v>390</v>
      </c>
      <c r="C142" s="71" t="str">
        <f>IFERROR(VLOOKUP(B142 ,INVENTARIO!B150:C1000,2,0),"")</f>
        <v>entre rosca</v>
      </c>
      <c r="D142" s="71">
        <f>SUMIF(ENTRADAS!B:B,B142,ENTRADAS!D:D)</f>
        <v>1</v>
      </c>
      <c r="E142" s="71">
        <f>SUMIF(SALIDAS!B:B,B142,SALIDAS!D:D)</f>
        <v>0</v>
      </c>
      <c r="F142" s="89">
        <f t="shared" si="1"/>
        <v>1</v>
      </c>
      <c r="G142" s="90"/>
      <c r="H142" s="90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</row>
    <row r="143">
      <c r="A143" s="79"/>
      <c r="B143" s="88" t="s">
        <v>391</v>
      </c>
      <c r="C143" s="71" t="str">
        <f>IFERROR(VLOOKUP(B143 ,INVENTARIO!B152:C1000,2,0),"")</f>
        <v>entre rosca</v>
      </c>
      <c r="D143" s="71">
        <f>SUMIF(ENTRADAS!B:B,B143,ENTRADAS!D:D)</f>
        <v>8</v>
      </c>
      <c r="E143" s="71">
        <f>SUMIF(SALIDAS!B:B,B143,SALIDAS!D:D)</f>
        <v>1</v>
      </c>
      <c r="F143" s="89">
        <f t="shared" si="1"/>
        <v>7</v>
      </c>
      <c r="G143" s="90"/>
      <c r="H143" s="90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</row>
    <row r="144">
      <c r="A144" s="79"/>
      <c r="B144" s="88" t="s">
        <v>392</v>
      </c>
      <c r="C144" s="71" t="str">
        <f>IFERROR(VLOOKUP(B144 ,INVENTARIO!B153:C1000,2,0),"")</f>
        <v>entre rosca</v>
      </c>
      <c r="D144" s="71">
        <f>SUMIF(ENTRADAS!B:B,B144,ENTRADAS!D:D)</f>
        <v>6</v>
      </c>
      <c r="E144" s="71">
        <f>SUMIF(SALIDAS!B:B,B144,SALIDAS!D:D)</f>
        <v>0</v>
      </c>
      <c r="F144" s="89">
        <f t="shared" si="1"/>
        <v>6</v>
      </c>
      <c r="G144" s="90"/>
      <c r="H144" s="90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</row>
    <row r="145">
      <c r="A145" s="79"/>
      <c r="B145" s="88" t="s">
        <v>393</v>
      </c>
      <c r="C145" s="71" t="str">
        <f>IFERROR(VLOOKUP(B145 ,INVENTARIO!B154:C1000,2,0),"")</f>
        <v>entre rosca</v>
      </c>
      <c r="D145" s="71">
        <f>SUMIF(ENTRADAS!B:B,B145,ENTRADAS!D:D)</f>
        <v>5</v>
      </c>
      <c r="E145" s="71">
        <f>SUMIF(SALIDAS!B:B,B145,SALIDAS!D:D)</f>
        <v>0</v>
      </c>
      <c r="F145" s="89">
        <f t="shared" si="1"/>
        <v>5</v>
      </c>
      <c r="G145" s="90"/>
      <c r="H145" s="90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</row>
    <row r="146">
      <c r="A146" s="79"/>
      <c r="B146" s="88" t="s">
        <v>394</v>
      </c>
      <c r="C146" s="71" t="str">
        <f>IFERROR(VLOOKUP(B146 ,INVENTARIO!B155:C1000,2,0),"")</f>
        <v>entre rosca</v>
      </c>
      <c r="D146" s="71">
        <f>SUMIF(ENTRADAS!B:B,B146,ENTRADAS!D:D)</f>
        <v>11</v>
      </c>
      <c r="E146" s="71">
        <f>SUMIF(SALIDAS!B:B,B146,SALIDAS!D:D)</f>
        <v>0</v>
      </c>
      <c r="F146" s="89">
        <f t="shared" si="1"/>
        <v>11</v>
      </c>
      <c r="G146" s="90"/>
      <c r="H146" s="90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</row>
    <row r="147">
      <c r="A147" s="79"/>
      <c r="B147" s="88" t="s">
        <v>395</v>
      </c>
      <c r="C147" s="71" t="str">
        <f>IFERROR(VLOOKUP(B147 ,INVENTARIO!B156:C1000,2,0),"")</f>
        <v>cuplas</v>
      </c>
      <c r="D147" s="71">
        <f>SUMIF(ENTRADAS!B:B,B147,ENTRADAS!D:D)</f>
        <v>8</v>
      </c>
      <c r="E147" s="71">
        <f>SUMIF(SALIDAS!B:B,B147,SALIDAS!D:D)</f>
        <v>0</v>
      </c>
      <c r="F147" s="89">
        <f t="shared" si="1"/>
        <v>8</v>
      </c>
      <c r="G147" s="90"/>
      <c r="H147" s="90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</row>
    <row r="148">
      <c r="A148" s="79"/>
      <c r="B148" s="88" t="s">
        <v>397</v>
      </c>
      <c r="C148" s="71" t="str">
        <f>IFERROR(VLOOKUP(B148 ,INVENTARIO!B157:C1000,2,0),"")</f>
        <v>cuplas</v>
      </c>
      <c r="D148" s="71">
        <f>SUMIF(ENTRADAS!B:B,B148,ENTRADAS!D:D)</f>
        <v>6</v>
      </c>
      <c r="E148" s="71">
        <f>SUMIF(SALIDAS!B:B,B148,SALIDAS!D:D)</f>
        <v>1</v>
      </c>
      <c r="F148" s="89">
        <f t="shared" si="1"/>
        <v>5</v>
      </c>
      <c r="G148" s="90"/>
      <c r="H148" s="90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</row>
    <row r="149">
      <c r="A149" s="79"/>
      <c r="B149" s="88" t="s">
        <v>398</v>
      </c>
      <c r="C149" s="71" t="str">
        <f>IFERROR(VLOOKUP(B149 ,INVENTARIO!B158:C1000,2,0),"")</f>
        <v>cuplas</v>
      </c>
      <c r="D149" s="71">
        <f>SUMIF(ENTRADAS!B:B,B149,ENTRADAS!D:D)</f>
        <v>3</v>
      </c>
      <c r="E149" s="71">
        <f>SUMIF(SALIDAS!B:B,B149,SALIDAS!D:D)</f>
        <v>2</v>
      </c>
      <c r="F149" s="89">
        <f t="shared" si="1"/>
        <v>1</v>
      </c>
      <c r="G149" s="90"/>
      <c r="H149" s="90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</row>
    <row r="150">
      <c r="A150" s="79"/>
      <c r="B150" s="88" t="s">
        <v>399</v>
      </c>
      <c r="C150" s="71" t="str">
        <f>IFERROR(VLOOKUP(B150 ,INVENTARIO!B159:C1000,2,0),"")</f>
        <v>cuplas</v>
      </c>
      <c r="D150" s="71">
        <f>SUMIF(ENTRADAS!B:B,B150,ENTRADAS!D:D)</f>
        <v>7</v>
      </c>
      <c r="E150" s="71">
        <f>SUMIF(SALIDAS!B:B,B150,SALIDAS!D:D)</f>
        <v>0</v>
      </c>
      <c r="F150" s="89">
        <f t="shared" si="1"/>
        <v>7</v>
      </c>
      <c r="G150" s="90"/>
      <c r="H150" s="90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</row>
    <row r="151">
      <c r="A151" s="79"/>
      <c r="B151" s="88" t="s">
        <v>400</v>
      </c>
      <c r="C151" s="71" t="str">
        <f>IFERROR(VLOOKUP(B151 ,INVENTARIO!B160:C1000,2,0),"")</f>
        <v>cuplas</v>
      </c>
      <c r="D151" s="71">
        <f>SUMIF(ENTRADAS!B:B,B151,ENTRADAS!D:D)</f>
        <v>21</v>
      </c>
      <c r="E151" s="71">
        <f>SUMIF(SALIDAS!B:B,B151,SALIDAS!D:D)</f>
        <v>0</v>
      </c>
      <c r="F151" s="89">
        <f t="shared" si="1"/>
        <v>21</v>
      </c>
      <c r="G151" s="90"/>
      <c r="H151" s="90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</row>
    <row r="152">
      <c r="A152" s="79"/>
      <c r="B152" s="88" t="s">
        <v>402</v>
      </c>
      <c r="C152" s="71" t="str">
        <f>IFERROR(VLOOKUP(B152 ,INVENTARIO!B161:C1000,2,0),"")</f>
        <v>codos</v>
      </c>
      <c r="D152" s="71">
        <f>SUMIF(ENTRADAS!B:B,B152,ENTRADAS!D:D)</f>
        <v>1</v>
      </c>
      <c r="E152" s="71">
        <f>SUMIF(SALIDAS!B:B,B152,SALIDAS!D:D)</f>
        <v>0</v>
      </c>
      <c r="F152" s="89">
        <f t="shared" si="1"/>
        <v>1</v>
      </c>
      <c r="G152" s="90"/>
      <c r="H152" s="90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</row>
    <row r="153">
      <c r="A153" s="79"/>
      <c r="B153" s="88" t="s">
        <v>403</v>
      </c>
      <c r="C153" s="71" t="str">
        <f>IFERROR(VLOOKUP(B153 ,INVENTARIO!B162:C1000,2,0),"")</f>
        <v>codos</v>
      </c>
      <c r="D153" s="71">
        <f>SUMIF(ENTRADAS!B:B,B153,ENTRADAS!D:D)</f>
        <v>1</v>
      </c>
      <c r="E153" s="71">
        <f>SUMIF(SALIDAS!B:B,B153,SALIDAS!D:D)</f>
        <v>0</v>
      </c>
      <c r="F153" s="89">
        <f t="shared" si="1"/>
        <v>1</v>
      </c>
      <c r="G153" s="90"/>
      <c r="H153" s="90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</row>
    <row r="154">
      <c r="A154" s="79"/>
      <c r="B154" s="88" t="s">
        <v>404</v>
      </c>
      <c r="C154" s="71" t="str">
        <f>IFERROR(VLOOKUP(B154 ,INVENTARIO!B163:C1000,2,0),"")</f>
        <v>codo hembra macho</v>
      </c>
      <c r="D154" s="71">
        <f>SUMIF(ENTRADAS!B:B,B154,ENTRADAS!D:D)</f>
        <v>7</v>
      </c>
      <c r="E154" s="71">
        <f>SUMIF(SALIDAS!B:B,B154,SALIDAS!D:D)</f>
        <v>0</v>
      </c>
      <c r="F154" s="89">
        <f t="shared" si="1"/>
        <v>7</v>
      </c>
      <c r="G154" s="90"/>
      <c r="H154" s="90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</row>
    <row r="155">
      <c r="A155" s="79"/>
      <c r="B155" s="88" t="s">
        <v>406</v>
      </c>
      <c r="C155" s="71" t="str">
        <f>IFERROR(VLOOKUP(B155 ,INVENTARIO!B164:C1000,2,0),"")</f>
        <v>curva a 45° hembra macho</v>
      </c>
      <c r="D155" s="71">
        <f>SUMIF(ENTRADAS!B:B,B155,ENTRADAS!D:D)</f>
        <v>1</v>
      </c>
      <c r="E155" s="71">
        <f>SUMIF(SALIDAS!B:B,B155,SALIDAS!D:D)</f>
        <v>0</v>
      </c>
      <c r="F155" s="89">
        <f t="shared" si="1"/>
        <v>1</v>
      </c>
      <c r="G155" s="90"/>
      <c r="H155" s="90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</row>
    <row r="156">
      <c r="A156" s="79"/>
      <c r="B156" s="88" t="s">
        <v>408</v>
      </c>
      <c r="C156" s="71" t="str">
        <f>IFERROR(VLOOKUP(B156 ,INVENTARIO!B165:C1000,2,0),"")</f>
        <v>curva a 45| hembra</v>
      </c>
      <c r="D156" s="71">
        <f>SUMIF(ENTRADAS!B:B,B156,ENTRADAS!D:D)</f>
        <v>1</v>
      </c>
      <c r="E156" s="71">
        <f>SUMIF(SALIDAS!B:B,B156,SALIDAS!D:D)</f>
        <v>0</v>
      </c>
      <c r="F156" s="89">
        <f t="shared" si="1"/>
        <v>1</v>
      </c>
      <c r="G156" s="90"/>
      <c r="H156" s="90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</row>
    <row r="157">
      <c r="A157" s="79"/>
      <c r="B157" s="88" t="s">
        <v>410</v>
      </c>
      <c r="C157" s="71" t="str">
        <f>IFERROR(VLOOKUP(B157 ,INVENTARIO!B166:C1000,2,0),"")</f>
        <v>curva a 45° hembra</v>
      </c>
      <c r="D157" s="71">
        <f>SUMIF(ENTRADAS!B:B,B157,ENTRADAS!D:D)</f>
        <v>2</v>
      </c>
      <c r="E157" s="71">
        <f>SUMIF(SALIDAS!B:B,B157,SALIDAS!D:D)</f>
        <v>0</v>
      </c>
      <c r="F157" s="89">
        <f t="shared" si="1"/>
        <v>2</v>
      </c>
      <c r="G157" s="90"/>
      <c r="H157" s="90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</row>
    <row r="158">
      <c r="A158" s="79"/>
      <c r="B158" s="88" t="s">
        <v>412</v>
      </c>
      <c r="C158" s="71" t="str">
        <f>IFERROR(VLOOKUP(B158 ,INVENTARIO!B167:C1000,2,0),"")</f>
        <v>curva a 45° hembra</v>
      </c>
      <c r="D158" s="71">
        <f>SUMIF(ENTRADAS!B:B,B158,ENTRADAS!D:D)</f>
        <v>3</v>
      </c>
      <c r="E158" s="71">
        <f>SUMIF(SALIDAS!B:B,B158,SALIDAS!D:D)</f>
        <v>0</v>
      </c>
      <c r="F158" s="89">
        <f t="shared" si="1"/>
        <v>3</v>
      </c>
      <c r="G158" s="90"/>
      <c r="H158" s="90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</row>
    <row r="159">
      <c r="A159" s="79"/>
      <c r="B159" s="88" t="s">
        <v>413</v>
      </c>
      <c r="C159" s="71" t="str">
        <f>IFERROR(VLOOKUP(B159 ,INVENTARIO!B168:C1000,2,0),"")</f>
        <v>curva a 75° hembra</v>
      </c>
      <c r="D159" s="71">
        <f>SUMIF(ENTRADAS!B:B,B159,ENTRADAS!D:D)</f>
        <v>1</v>
      </c>
      <c r="E159" s="71">
        <f>SUMIF(SALIDAS!B:B,B159,SALIDAS!D:D)</f>
        <v>0</v>
      </c>
      <c r="F159" s="89">
        <f t="shared" si="1"/>
        <v>1</v>
      </c>
      <c r="G159" s="90"/>
      <c r="H159" s="90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</row>
    <row r="160">
      <c r="A160" s="79"/>
      <c r="B160" s="88" t="s">
        <v>415</v>
      </c>
      <c r="C160" s="71" t="str">
        <f>IFERROR(VLOOKUP(B160 ,INVENTARIO!B169:C1000,2,0),"")</f>
        <v>curva a 90° hembra</v>
      </c>
      <c r="D160" s="71">
        <f>SUMIF(ENTRADAS!B:B,B160,ENTRADAS!D:D)</f>
        <v>11</v>
      </c>
      <c r="E160" s="71">
        <f>SUMIF(SALIDAS!B:B,B160,SALIDAS!D:D)</f>
        <v>2</v>
      </c>
      <c r="F160" s="89">
        <f t="shared" si="1"/>
        <v>9</v>
      </c>
      <c r="G160" s="90"/>
      <c r="H160" s="90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</row>
    <row r="161">
      <c r="A161" s="79"/>
      <c r="B161" s="88" t="s">
        <v>417</v>
      </c>
      <c r="C161" s="71" t="str">
        <f>IFERROR(VLOOKUP(B161 ,INVENTARIO!B170:C1000,2,0),"")</f>
        <v>curva macho hembra a 90°</v>
      </c>
      <c r="D161" s="71">
        <f>SUMIF(ENTRADAS!B:B,B161,ENTRADAS!D:D)</f>
        <v>1</v>
      </c>
      <c r="E161" s="71">
        <f>SUMIF(SALIDAS!B:B,B161,SALIDAS!D:D)</f>
        <v>0</v>
      </c>
      <c r="F161" s="89">
        <f t="shared" si="1"/>
        <v>1</v>
      </c>
      <c r="G161" s="90"/>
      <c r="H161" s="90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</row>
    <row r="162">
      <c r="A162" s="79"/>
      <c r="B162" s="88" t="s">
        <v>419</v>
      </c>
      <c r="C162" s="71" t="str">
        <f>IFERROR(VLOOKUP(B162 ,INVENTARIO!B171:C1000,2,0),"")</f>
        <v>union T hembra</v>
      </c>
      <c r="D162" s="71">
        <f>SUMIF(ENTRADAS!B:B,B162,ENTRADAS!D:D)</f>
        <v>10</v>
      </c>
      <c r="E162" s="71">
        <f>SUMIF(SALIDAS!B:B,B162,SALIDAS!D:D)</f>
        <v>0</v>
      </c>
      <c r="F162" s="89">
        <f t="shared" si="1"/>
        <v>10</v>
      </c>
      <c r="G162" s="90"/>
      <c r="H162" s="90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</row>
    <row r="163">
      <c r="A163" s="79"/>
      <c r="B163" s="88" t="s">
        <v>421</v>
      </c>
      <c r="C163" s="71" t="str">
        <f>IFERROR(VLOOKUP(B163 ,INVENTARIO!B172:C1000,2,0),"")</f>
        <v>union T hembra</v>
      </c>
      <c r="D163" s="71">
        <f>SUMIF(ENTRADAS!B:B,B163,ENTRADAS!D:D)</f>
        <v>4</v>
      </c>
      <c r="E163" s="71">
        <f>SUMIF(SALIDAS!B:B,B163,SALIDAS!D:D)</f>
        <v>0</v>
      </c>
      <c r="F163" s="89">
        <f t="shared" si="1"/>
        <v>4</v>
      </c>
      <c r="G163" s="90"/>
      <c r="H163" s="90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</row>
    <row r="164">
      <c r="A164" s="79"/>
      <c r="B164" s="88" t="s">
        <v>422</v>
      </c>
      <c r="C164" s="71" t="str">
        <f>IFERROR(VLOOKUP(B164 ,INVENTARIO!B173:C1000,2,0),"")</f>
        <v>union T hembra</v>
      </c>
      <c r="D164" s="71">
        <f>SUMIF(ENTRADAS!B:B,B164,ENTRADAS!D:D)</f>
        <v>4</v>
      </c>
      <c r="E164" s="71">
        <f>SUMIF(SALIDAS!B:B,B164,SALIDAS!D:D)</f>
        <v>3</v>
      </c>
      <c r="F164" s="89">
        <f t="shared" si="1"/>
        <v>1</v>
      </c>
      <c r="G164" s="90"/>
      <c r="H164" s="90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>
      <c r="A165" s="79"/>
      <c r="B165" s="88" t="s">
        <v>423</v>
      </c>
      <c r="C165" s="71" t="str">
        <f>IFERROR(VLOOKUP(B165 ,INVENTARIO!B174:C1000,2,0),"")</f>
        <v>union T hembra</v>
      </c>
      <c r="D165" s="71">
        <f>SUMIF(ENTRADAS!B:B,B165,ENTRADAS!D:D)</f>
        <v>5</v>
      </c>
      <c r="E165" s="71">
        <f>SUMIF(SALIDAS!B:B,B165,SALIDAS!D:D)</f>
        <v>0</v>
      </c>
      <c r="F165" s="89">
        <f t="shared" si="1"/>
        <v>5</v>
      </c>
      <c r="G165" s="90"/>
      <c r="H165" s="90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>
      <c r="A166" s="79"/>
      <c r="B166" s="88" t="s">
        <v>424</v>
      </c>
      <c r="C166" s="71" t="str">
        <f>IFERROR(VLOOKUP(B166 ,INVENTARIO!B175:C1000,2,0),"")</f>
        <v>reduccion hembra macho</v>
      </c>
      <c r="D166" s="71">
        <f>SUMIF(ENTRADAS!B:B,B166,ENTRADAS!D:D)</f>
        <v>2</v>
      </c>
      <c r="E166" s="71">
        <f>SUMIF(SALIDAS!B:B,B166,SALIDAS!D:D)</f>
        <v>0</v>
      </c>
      <c r="F166" s="89">
        <f t="shared" si="1"/>
        <v>2</v>
      </c>
      <c r="G166" s="90"/>
      <c r="H166" s="90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>
      <c r="A167" s="79"/>
      <c r="B167" s="88" t="s">
        <v>426</v>
      </c>
      <c r="C167" s="71" t="str">
        <f>IFERROR(VLOOKUP(B167 ,INVENTARIO!B176:C1000,2,0),"")</f>
        <v>reduccion hembra macho</v>
      </c>
      <c r="D167" s="71">
        <f>SUMIF(ENTRADAS!B:B,B167,ENTRADAS!D:D)</f>
        <v>2</v>
      </c>
      <c r="E167" s="71">
        <f>SUMIF(SALIDAS!B:B,B167,SALIDAS!D:D)</f>
        <v>0</v>
      </c>
      <c r="F167" s="89">
        <f t="shared" si="1"/>
        <v>2</v>
      </c>
      <c r="G167" s="90"/>
      <c r="H167" s="90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>
      <c r="A168" s="79"/>
      <c r="B168" s="88" t="s">
        <v>427</v>
      </c>
      <c r="C168" s="71" t="str">
        <f>IFERROR(VLOOKUP(B168 ,INVENTARIO!B177:C1000,2,0),"")</f>
        <v>reduccion hembra macho</v>
      </c>
      <c r="D168" s="71">
        <f>SUMIF(ENTRADAS!B:B,B168,ENTRADAS!D:D)</f>
        <v>1</v>
      </c>
      <c r="E168" s="71">
        <f>SUMIF(SALIDAS!B:B,B168,SALIDAS!D:D)</f>
        <v>0</v>
      </c>
      <c r="F168" s="89">
        <f t="shared" si="1"/>
        <v>1</v>
      </c>
      <c r="G168" s="90"/>
      <c r="H168" s="90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>
      <c r="A169" s="79"/>
      <c r="B169" s="88" t="s">
        <v>428</v>
      </c>
      <c r="C169" s="71" t="str">
        <f>IFERROR(VLOOKUP(B169 ,INVENTARIO!B178:C1000,2,0),"")</f>
        <v>reduccion hembra macho</v>
      </c>
      <c r="D169" s="71">
        <f>SUMIF(ENTRADAS!B:B,B169,ENTRADAS!D:D)</f>
        <v>1</v>
      </c>
      <c r="E169" s="71">
        <f>SUMIF(SALIDAS!B:B,B169,SALIDAS!D:D)</f>
        <v>0</v>
      </c>
      <c r="F169" s="89">
        <f t="shared" si="1"/>
        <v>1</v>
      </c>
      <c r="G169" s="90"/>
      <c r="H169" s="90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>
      <c r="A170" s="79"/>
      <c r="B170" s="88" t="s">
        <v>429</v>
      </c>
      <c r="C170" s="71" t="str">
        <f>IFERROR(VLOOKUP(B170 ,INVENTARIO!B179:C1000,2,0),"")</f>
        <v>reduccion hembra macho</v>
      </c>
      <c r="D170" s="71">
        <f>SUMIF(ENTRADAS!B:B,B170,ENTRADAS!D:D)</f>
        <v>2</v>
      </c>
      <c r="E170" s="71">
        <f>SUMIF(SALIDAS!B:B,B170,SALIDAS!D:D)</f>
        <v>0</v>
      </c>
      <c r="F170" s="89">
        <f t="shared" si="1"/>
        <v>2</v>
      </c>
      <c r="G170" s="90"/>
      <c r="H170" s="90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>
      <c r="A171" s="79"/>
      <c r="B171" s="88" t="s">
        <v>430</v>
      </c>
      <c r="C171" s="71" t="str">
        <f>IFERROR(VLOOKUP(B171 ,INVENTARIO!B180:C1000,2,0),"")</f>
        <v>union doble</v>
      </c>
      <c r="D171" s="71">
        <f>SUMIF(ENTRADAS!B:B,B171,ENTRADAS!D:D)</f>
        <v>6</v>
      </c>
      <c r="E171" s="71">
        <f>SUMIF(SALIDAS!B:B,B171,SALIDAS!D:D)</f>
        <v>0</v>
      </c>
      <c r="F171" s="89">
        <f t="shared" si="1"/>
        <v>6</v>
      </c>
      <c r="G171" s="90"/>
      <c r="H171" s="90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>
      <c r="A172" s="79"/>
      <c r="B172" s="88" t="s">
        <v>432</v>
      </c>
      <c r="C172" s="71" t="str">
        <f>IFERROR(VLOOKUP(B172 ,INVENTARIO!B181:C1000,2,0),"")</f>
        <v>union doble</v>
      </c>
      <c r="D172" s="71">
        <f>SUMIF(ENTRADAS!B:B,B172,ENTRADAS!D:D)</f>
        <v>2</v>
      </c>
      <c r="E172" s="71">
        <f>SUMIF(SALIDAS!B:B,B172,SALIDAS!D:D)</f>
        <v>0</v>
      </c>
      <c r="F172" s="89">
        <f t="shared" si="1"/>
        <v>2</v>
      </c>
      <c r="G172" s="90"/>
      <c r="H172" s="90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>
      <c r="A173" s="79"/>
      <c r="B173" s="88" t="s">
        <v>433</v>
      </c>
      <c r="C173" s="71" t="str">
        <f>IFERROR(VLOOKUP(B173 ,INVENTARIO!B182:C1000,2,0),"")</f>
        <v>union doble</v>
      </c>
      <c r="D173" s="71">
        <f>SUMIF(ENTRADAS!B:B,B173,ENTRADAS!D:D)</f>
        <v>2</v>
      </c>
      <c r="E173" s="71">
        <f>SUMIF(SALIDAS!B:B,B173,SALIDAS!D:D)</f>
        <v>0</v>
      </c>
      <c r="F173" s="89">
        <f t="shared" si="1"/>
        <v>2</v>
      </c>
      <c r="G173" s="90"/>
      <c r="H173" s="90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>
      <c r="A174" s="79"/>
      <c r="B174" s="88" t="s">
        <v>434</v>
      </c>
      <c r="C174" s="71" t="str">
        <f>IFERROR(VLOOKUP(B174 ,INVENTARIO!B183:C1000,2,0),"")</f>
        <v>union doble</v>
      </c>
      <c r="D174" s="71">
        <f>SUMIF(ENTRADAS!B:B,B174,ENTRADAS!D:D)</f>
        <v>2</v>
      </c>
      <c r="E174" s="71">
        <f>SUMIF(SALIDAS!B:B,B174,SALIDAS!D:D)</f>
        <v>0</v>
      </c>
      <c r="F174" s="89">
        <f t="shared" si="1"/>
        <v>2</v>
      </c>
      <c r="G174" s="90"/>
      <c r="H174" s="90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>
      <c r="A175" s="79"/>
      <c r="B175" s="88" t="s">
        <v>1892</v>
      </c>
      <c r="C175" s="71" t="str">
        <f>IFERROR(VLOOKUP(B175 ,INVENTARIO!B184:C1000,2,0),"")</f>
        <v/>
      </c>
      <c r="D175" s="71">
        <f>SUMIF(ENTRADAS!B:B,B175,ENTRADAS!D:D)</f>
        <v>6</v>
      </c>
      <c r="E175" s="71">
        <f>SUMIF(SALIDAS!B:B,B175,SALIDAS!D:D)</f>
        <v>0</v>
      </c>
      <c r="F175" s="89">
        <f t="shared" si="1"/>
        <v>6</v>
      </c>
      <c r="G175" s="90"/>
      <c r="H175" s="90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>
      <c r="A176" s="79"/>
      <c r="B176" s="88" t="s">
        <v>1893</v>
      </c>
      <c r="C176" s="71" t="str">
        <f>IFERROR(VLOOKUP(B176 ,INVENTARIO!B185:C1000,2,0),"")</f>
        <v/>
      </c>
      <c r="D176" s="71">
        <f>SUMIF(ENTRADAS!B:B,B176,ENTRADAS!D:D)</f>
        <v>1</v>
      </c>
      <c r="E176" s="71">
        <f>SUMIF(SALIDAS!B:B,B176,SALIDAS!D:D)</f>
        <v>0</v>
      </c>
      <c r="F176" s="89">
        <f t="shared" si="1"/>
        <v>1</v>
      </c>
      <c r="G176" s="90"/>
      <c r="H176" s="90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>
      <c r="A177" s="79"/>
      <c r="B177" s="88" t="s">
        <v>1894</v>
      </c>
      <c r="C177" s="71" t="str">
        <f>IFERROR(VLOOKUP(B177 ,INVENTARIO!B186:C1000,2,0),"")</f>
        <v/>
      </c>
      <c r="D177" s="71">
        <f>SUMIF(ENTRADAS!B:B,B177,ENTRADAS!D:D)</f>
        <v>4</v>
      </c>
      <c r="E177" s="71">
        <f>SUMIF(SALIDAS!B:B,B177,SALIDAS!D:D)</f>
        <v>1</v>
      </c>
      <c r="F177" s="89">
        <f t="shared" si="1"/>
        <v>3</v>
      </c>
      <c r="G177" s="90"/>
      <c r="H177" s="90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>
      <c r="A178" s="79"/>
      <c r="B178" s="88" t="s">
        <v>439</v>
      </c>
      <c r="C178" s="71" t="str">
        <f>IFERROR(VLOOKUP(B178 ,INVENTARIO!B187:C1000,2,0),"")</f>
        <v/>
      </c>
      <c r="D178" s="71">
        <f>SUMIF(ENTRADAS!B:B,B178,ENTRADAS!D:D)</f>
        <v>4</v>
      </c>
      <c r="E178" s="71">
        <f>SUMIF(SALIDAS!B:B,B178,SALIDAS!D:D)</f>
        <v>0</v>
      </c>
      <c r="F178" s="89">
        <f t="shared" si="1"/>
        <v>4</v>
      </c>
      <c r="G178" s="90"/>
      <c r="H178" s="90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>
      <c r="A179" s="79"/>
      <c r="B179" s="88" t="s">
        <v>1895</v>
      </c>
      <c r="C179" s="71" t="str">
        <f>IFERROR(VLOOKUP(B179 ,INVENTARIO!B188:C1000,2,0),"")</f>
        <v/>
      </c>
      <c r="D179" s="71">
        <f>SUMIF(ENTRADAS!B:B,B179,ENTRADAS!D:D)</f>
        <v>0</v>
      </c>
      <c r="E179" s="71">
        <f>SUMIF(SALIDAS!B:B,B179,SALIDAS!D:D)</f>
        <v>0</v>
      </c>
      <c r="F179" s="89">
        <f t="shared" si="1"/>
        <v>0</v>
      </c>
      <c r="G179" s="90"/>
      <c r="H179" s="90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>
      <c r="A180" s="79"/>
      <c r="B180" s="88" t="s">
        <v>443</v>
      </c>
      <c r="C180" s="71" t="str">
        <f>IFERROR(VLOOKUP(B180 ,INVENTARIO!B189:C1000,2,0),"")</f>
        <v>niple de 1/2"x20mm</v>
      </c>
      <c r="D180" s="71">
        <f>SUMIF(ENTRADAS!B:B,B180,ENTRADAS!D:D)</f>
        <v>0</v>
      </c>
      <c r="E180" s="71">
        <f>SUMIF(SALIDAS!B:B,B180,SALIDAS!D:D)</f>
        <v>0</v>
      </c>
      <c r="F180" s="89">
        <f t="shared" si="1"/>
        <v>0</v>
      </c>
      <c r="G180" s="90"/>
      <c r="H180" s="90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>
      <c r="A181" s="79"/>
      <c r="B181" s="88" t="s">
        <v>1896</v>
      </c>
      <c r="C181" s="71" t="str">
        <f>IFERROR(VLOOKUP(B181 ,INVENTARIO!B190:C1000,2,0),"")</f>
        <v/>
      </c>
      <c r="D181" s="71">
        <f>SUMIF(ENTRADAS!B:B,B181,ENTRADAS!D:D)</f>
        <v>1</v>
      </c>
      <c r="E181" s="71">
        <f>SUMIF(SALIDAS!B:B,B181,SALIDAS!D:D)</f>
        <v>0</v>
      </c>
      <c r="F181" s="89">
        <f t="shared" si="1"/>
        <v>1</v>
      </c>
      <c r="G181" s="90"/>
      <c r="H181" s="90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>
      <c r="A182" s="79"/>
      <c r="B182" s="88" t="s">
        <v>448</v>
      </c>
      <c r="C182" s="71" t="str">
        <f>IFERROR(VLOOKUP(B182 ,INVENTARIO!B191:C1000,2,0),"")</f>
        <v>tapon</v>
      </c>
      <c r="D182" s="71">
        <f>SUMIF(ENTRADAS!B:B,B182,ENTRADAS!D:D)</f>
        <v>1</v>
      </c>
      <c r="E182" s="71">
        <f>SUMIF(SALIDAS!B:B,B182,SALIDAS!D:D)</f>
        <v>0</v>
      </c>
      <c r="F182" s="89">
        <f t="shared" si="1"/>
        <v>1</v>
      </c>
      <c r="G182" s="90"/>
      <c r="H182" s="90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>
      <c r="A183" s="79"/>
      <c r="B183" s="88" t="s">
        <v>449</v>
      </c>
      <c r="C183" s="71" t="str">
        <f>IFERROR(VLOOKUP(B183 ,INVENTARIO!B192:C1000,2,0),"")</f>
        <v>tapa hembra</v>
      </c>
      <c r="D183" s="71">
        <f>SUMIF(ENTRADAS!B:B,B183,ENTRADAS!D:D)</f>
        <v>0</v>
      </c>
      <c r="E183" s="71">
        <f>SUMIF(SALIDAS!B:B,B183,SALIDAS!D:D)</f>
        <v>0</v>
      </c>
      <c r="F183" s="89">
        <f t="shared" si="1"/>
        <v>0</v>
      </c>
      <c r="G183" s="90"/>
      <c r="H183" s="90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>
      <c r="A184" s="79"/>
      <c r="B184" s="88" t="s">
        <v>451</v>
      </c>
      <c r="C184" s="71" t="str">
        <f>IFERROR(VLOOKUP(B184 ,INVENTARIO!B193:C1000,2,0),"")</f>
        <v>entre rosca</v>
      </c>
      <c r="D184" s="71">
        <f>SUMIF(ENTRADAS!B:B,B184,ENTRADAS!D:D)</f>
        <v>3</v>
      </c>
      <c r="E184" s="71">
        <f>SUMIF(SALIDAS!B:B,B184,SALIDAS!D:D)</f>
        <v>0</v>
      </c>
      <c r="F184" s="89">
        <f t="shared" si="1"/>
        <v>3</v>
      </c>
      <c r="G184" s="90"/>
      <c r="H184" s="90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>
      <c r="A185" s="79"/>
      <c r="B185" s="88" t="s">
        <v>452</v>
      </c>
      <c r="C185" s="71" t="str">
        <f>IFERROR(VLOOKUP(B185 ,INVENTARIO!B194:C1000,2,0),"")</f>
        <v>entre rosca</v>
      </c>
      <c r="D185" s="71">
        <f>SUMIF(ENTRADAS!B:B,B185,ENTRADAS!D:D)</f>
        <v>2</v>
      </c>
      <c r="E185" s="71">
        <f>SUMIF(SALIDAS!B:B,B185,SALIDAS!D:D)</f>
        <v>0</v>
      </c>
      <c r="F185" s="89">
        <f t="shared" si="1"/>
        <v>2</v>
      </c>
      <c r="G185" s="90"/>
      <c r="H185" s="90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>
      <c r="A186" s="79"/>
      <c r="B186" s="88" t="s">
        <v>453</v>
      </c>
      <c r="C186" s="71" t="str">
        <f>IFERROR(VLOOKUP(B186 ,INVENTARIO!B195:C1000,2,0),"")</f>
        <v>entre rosca</v>
      </c>
      <c r="D186" s="71">
        <f>SUMIF(ENTRADAS!B:B,B186,ENTRADAS!D:D)</f>
        <v>0</v>
      </c>
      <c r="E186" s="71">
        <f>SUMIF(SALIDAS!B:B,B186,SALIDAS!D:D)</f>
        <v>0</v>
      </c>
      <c r="F186" s="89">
        <f t="shared" si="1"/>
        <v>0</v>
      </c>
      <c r="G186" s="90"/>
      <c r="H186" s="90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>
      <c r="A187" s="79"/>
      <c r="B187" s="88" t="s">
        <v>454</v>
      </c>
      <c r="C187" s="71" t="str">
        <f>IFERROR(VLOOKUP(B187 ,INVENTARIO!B196:C1000,2,0),"")</f>
        <v>cuplas</v>
      </c>
      <c r="D187" s="71">
        <f>SUMIF(ENTRADAS!B:B,B187,ENTRADAS!D:D)</f>
        <v>1</v>
      </c>
      <c r="E187" s="71">
        <f>SUMIF(SALIDAS!B:B,B187,SALIDAS!D:D)</f>
        <v>0</v>
      </c>
      <c r="F187" s="89">
        <f t="shared" si="1"/>
        <v>1</v>
      </c>
      <c r="G187" s="90"/>
      <c r="H187" s="90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8">
      <c r="A188" s="79"/>
      <c r="B188" s="88" t="s">
        <v>455</v>
      </c>
      <c r="C188" s="71" t="str">
        <f>IFERROR(VLOOKUP(B188 ,INVENTARIO!B197:C1000,2,0),"")</f>
        <v>cuplas</v>
      </c>
      <c r="D188" s="71">
        <f>SUMIF(ENTRADAS!B:B,B188,ENTRADAS!D:D)</f>
        <v>1</v>
      </c>
      <c r="E188" s="71">
        <f>SUMIF(SALIDAS!B:B,B188,SALIDAS!D:D)</f>
        <v>0</v>
      </c>
      <c r="F188" s="89">
        <f t="shared" si="1"/>
        <v>1</v>
      </c>
      <c r="G188" s="90"/>
      <c r="H188" s="90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</row>
    <row r="189">
      <c r="A189" s="79"/>
      <c r="B189" s="88" t="s">
        <v>456</v>
      </c>
      <c r="C189" s="71" t="str">
        <f>IFERROR(VLOOKUP(B189 ,INVENTARIO!B198:C1000,2,0),"")</f>
        <v>codos</v>
      </c>
      <c r="D189" s="71">
        <f>SUMIF(ENTRADAS!B:B,B189,ENTRADAS!D:D)</f>
        <v>2</v>
      </c>
      <c r="E189" s="71">
        <f>SUMIF(SALIDAS!B:B,B189,SALIDAS!D:D)</f>
        <v>0</v>
      </c>
      <c r="F189" s="89">
        <f t="shared" si="1"/>
        <v>2</v>
      </c>
      <c r="G189" s="90"/>
      <c r="H189" s="90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</row>
    <row r="190">
      <c r="A190" s="79"/>
      <c r="B190" s="88" t="s">
        <v>457</v>
      </c>
      <c r="C190" s="71" t="str">
        <f>IFERROR(VLOOKUP(B190 ,INVENTARIO!B199:C1000,2,0),"")</f>
        <v>codos</v>
      </c>
      <c r="D190" s="71">
        <f>SUMIF(ENTRADAS!B:B,B190,ENTRADAS!D:D)</f>
        <v>1</v>
      </c>
      <c r="E190" s="71">
        <f>SUMIF(SALIDAS!B:B,B190,SALIDAS!D:D)</f>
        <v>0</v>
      </c>
      <c r="F190" s="89">
        <f t="shared" si="1"/>
        <v>1</v>
      </c>
      <c r="G190" s="90"/>
      <c r="H190" s="90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</row>
    <row r="191">
      <c r="A191" s="79"/>
      <c r="B191" s="88" t="s">
        <v>458</v>
      </c>
      <c r="C191" s="71" t="str">
        <f>IFERROR(VLOOKUP(B191 ,INVENTARIO!B200:C1000,2,0),"")</f>
        <v>codos</v>
      </c>
      <c r="D191" s="71">
        <f>SUMIF(ENTRADAS!B:B,B191,ENTRADAS!D:D)</f>
        <v>0</v>
      </c>
      <c r="E191" s="71">
        <f>SUMIF(SALIDAS!B:B,B191,SALIDAS!D:D)</f>
        <v>0</v>
      </c>
      <c r="F191" s="89">
        <f t="shared" si="1"/>
        <v>0</v>
      </c>
      <c r="G191" s="90"/>
      <c r="H191" s="90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</row>
    <row r="192">
      <c r="A192" s="79"/>
      <c r="B192" s="88" t="s">
        <v>459</v>
      </c>
      <c r="C192" s="71" t="str">
        <f>IFERROR(VLOOKUP(B192 ,INVENTARIO!B201:C1000,2,0),"")</f>
        <v>codos</v>
      </c>
      <c r="D192" s="71">
        <f>SUMIF(ENTRADAS!B:B,B192,ENTRADAS!D:D)</f>
        <v>1</v>
      </c>
      <c r="E192" s="71">
        <f>SUMIF(SALIDAS!B:B,B192,SALIDAS!D:D)</f>
        <v>0</v>
      </c>
      <c r="F192" s="89">
        <f t="shared" si="1"/>
        <v>1</v>
      </c>
      <c r="G192" s="90"/>
      <c r="H192" s="90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</row>
    <row r="193">
      <c r="A193" s="79"/>
      <c r="B193" s="88" t="s">
        <v>460</v>
      </c>
      <c r="C193" s="71" t="str">
        <f>IFERROR(VLOOKUP(B193 ,INVENTARIO!B202:C1000,2,0),"")</f>
        <v>curva macho hembra</v>
      </c>
      <c r="D193" s="71">
        <f>SUMIF(ENTRADAS!B:B,B193,ENTRADAS!D:D)</f>
        <v>1</v>
      </c>
      <c r="E193" s="71">
        <f>SUMIF(SALIDAS!B:B,B193,SALIDAS!D:D)</f>
        <v>0</v>
      </c>
      <c r="F193" s="89">
        <f t="shared" si="1"/>
        <v>1</v>
      </c>
      <c r="G193" s="90"/>
      <c r="H193" s="90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</row>
    <row r="194">
      <c r="A194" s="79"/>
      <c r="B194" s="88" t="s">
        <v>462</v>
      </c>
      <c r="C194" s="71" t="str">
        <f>IFERROR(VLOOKUP(B194 ,INVENTARIO!B203:C1000,2,0),"")</f>
        <v>union T</v>
      </c>
      <c r="D194" s="71">
        <f>SUMIF(ENTRADAS!B:B,B194,ENTRADAS!D:D)</f>
        <v>3</v>
      </c>
      <c r="E194" s="71">
        <f>SUMIF(SALIDAS!B:B,B194,SALIDAS!D:D)</f>
        <v>0</v>
      </c>
      <c r="F194" s="89">
        <f t="shared" si="1"/>
        <v>3</v>
      </c>
      <c r="G194" s="90"/>
      <c r="H194" s="90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</row>
    <row r="195">
      <c r="A195" s="79"/>
      <c r="B195" s="88" t="s">
        <v>464</v>
      </c>
      <c r="C195" s="71" t="str">
        <f>IFERROR(VLOOKUP(B195 ,INVENTARIO!B204:C1000,2,0),"")</f>
        <v>union T</v>
      </c>
      <c r="D195" s="71">
        <f>SUMIF(ENTRADAS!B:B,B195,ENTRADAS!D:D)</f>
        <v>3</v>
      </c>
      <c r="E195" s="71">
        <f>SUMIF(SALIDAS!B:B,B195,SALIDAS!D:D)</f>
        <v>0</v>
      </c>
      <c r="F195" s="89">
        <f t="shared" si="1"/>
        <v>3</v>
      </c>
      <c r="G195" s="90"/>
      <c r="H195" s="90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</row>
    <row r="196">
      <c r="A196" s="79"/>
      <c r="B196" s="88" t="s">
        <v>465</v>
      </c>
      <c r="C196" s="71" t="str">
        <f>IFERROR(VLOOKUP(B196 ,INVENTARIO!B205:C1000,2,0),"")</f>
        <v>unionT</v>
      </c>
      <c r="D196" s="71">
        <f>SUMIF(ENTRADAS!B:B,B196,ENTRADAS!D:D)</f>
        <v>6</v>
      </c>
      <c r="E196" s="71">
        <f>SUMIF(SALIDAS!B:B,B196,SALIDAS!D:D)</f>
        <v>0</v>
      </c>
      <c r="F196" s="89">
        <f t="shared" si="1"/>
        <v>6</v>
      </c>
      <c r="G196" s="90"/>
      <c r="H196" s="90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</row>
    <row r="197">
      <c r="A197" s="79"/>
      <c r="B197" s="88" t="s">
        <v>467</v>
      </c>
      <c r="C197" s="71" t="str">
        <f>IFERROR(VLOOKUP(B197 ,INVENTARIO!B206:C1000,2,0),"")</f>
        <v>reduccion hembra macho</v>
      </c>
      <c r="D197" s="71">
        <f>SUMIF(ENTRADAS!B:B,B197,ENTRADAS!D:D)</f>
        <v>3</v>
      </c>
      <c r="E197" s="71">
        <f>SUMIF(SALIDAS!B:B,B197,SALIDAS!D:D)</f>
        <v>0</v>
      </c>
      <c r="F197" s="89">
        <f t="shared" si="1"/>
        <v>3</v>
      </c>
      <c r="G197" s="90"/>
      <c r="H197" s="90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</row>
    <row r="198">
      <c r="A198" s="79"/>
      <c r="B198" s="88" t="s">
        <v>468</v>
      </c>
      <c r="C198" s="71" t="str">
        <f>IFERROR(VLOOKUP(B198 ,INVENTARIO!B207:C1000,2,0),"")</f>
        <v>reduccion hembra macho</v>
      </c>
      <c r="D198" s="71">
        <f>SUMIF(ENTRADAS!B:B,B198,ENTRADAS!D:D)</f>
        <v>1</v>
      </c>
      <c r="E198" s="71">
        <f>SUMIF(SALIDAS!B:B,B198,SALIDAS!D:D)</f>
        <v>1</v>
      </c>
      <c r="F198" s="89">
        <f t="shared" si="1"/>
        <v>0</v>
      </c>
      <c r="G198" s="90"/>
      <c r="H198" s="90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>
      <c r="A199" s="79"/>
      <c r="B199" s="88" t="s">
        <v>469</v>
      </c>
      <c r="C199" s="71" t="str">
        <f>IFERROR(VLOOKUP(B199 ,INVENTARIO!B208:C1000,2,0),"")</f>
        <v>reduccion hembra macho</v>
      </c>
      <c r="D199" s="71">
        <f>SUMIF(ENTRADAS!B:B,B199,ENTRADAS!D:D)</f>
        <v>1</v>
      </c>
      <c r="E199" s="71">
        <f>SUMIF(SALIDAS!B:B,B199,SALIDAS!D:D)</f>
        <v>0</v>
      </c>
      <c r="F199" s="89">
        <f t="shared" si="1"/>
        <v>1</v>
      </c>
      <c r="G199" s="90"/>
      <c r="H199" s="90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</row>
    <row r="200">
      <c r="A200" s="79"/>
      <c r="B200" s="88" t="s">
        <v>470</v>
      </c>
      <c r="C200" s="71" t="str">
        <f>IFERROR(VLOOKUP(B200 ,INVENTARIO!B209:C1000,2,0),"")</f>
        <v>reduccion hembra macho</v>
      </c>
      <c r="D200" s="71">
        <f>SUMIF(ENTRADAS!B:B,B200,ENTRADAS!D:D)</f>
        <v>0</v>
      </c>
      <c r="E200" s="71">
        <f>SUMIF(SALIDAS!B:B,B200,SALIDAS!D:D)</f>
        <v>0</v>
      </c>
      <c r="F200" s="89">
        <f t="shared" si="1"/>
        <v>0</v>
      </c>
      <c r="G200" s="90"/>
      <c r="H200" s="90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>
      <c r="A201" s="79"/>
      <c r="B201" s="88" t="s">
        <v>471</v>
      </c>
      <c r="C201" s="71" t="str">
        <f>IFERROR(VLOOKUP(B201 ,INVENTARIO!B210:C1000,2,0),"")</f>
        <v>reduccion hembra macho</v>
      </c>
      <c r="D201" s="71">
        <f>SUMIF(ENTRADAS!B:B,B201,ENTRADAS!D:D)</f>
        <v>0</v>
      </c>
      <c r="E201" s="71">
        <f>SUMIF(SALIDAS!B:B,B201,SALIDAS!D:D)</f>
        <v>0</v>
      </c>
      <c r="F201" s="89">
        <f t="shared" si="1"/>
        <v>0</v>
      </c>
      <c r="G201" s="90"/>
      <c r="H201" s="90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</row>
    <row r="202">
      <c r="A202" s="79"/>
      <c r="B202" s="88" t="s">
        <v>472</v>
      </c>
      <c r="C202" s="71" t="str">
        <f>IFERROR(VLOOKUP(B202 ,INVENTARIO!B211:C1000,2,0),"")</f>
        <v>reduccion hembra macho</v>
      </c>
      <c r="D202" s="71">
        <f>SUMIF(ENTRADAS!B:B,B202,ENTRADAS!D:D)</f>
        <v>2</v>
      </c>
      <c r="E202" s="71">
        <f>SUMIF(SALIDAS!B:B,B202,SALIDAS!D:D)</f>
        <v>0</v>
      </c>
      <c r="F202" s="89">
        <f t="shared" si="1"/>
        <v>2</v>
      </c>
      <c r="G202" s="90"/>
      <c r="H202" s="90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</row>
    <row r="203">
      <c r="A203" s="79"/>
      <c r="B203" s="88" t="s">
        <v>473</v>
      </c>
      <c r="C203" s="71" t="str">
        <f>IFERROR(VLOOKUP(B203 ,INVENTARIO!B212:C1000,2,0),"")</f>
        <v>union doble</v>
      </c>
      <c r="D203" s="71">
        <f>SUMIF(ENTRADAS!B:B,B203,ENTRADAS!D:D)</f>
        <v>2</v>
      </c>
      <c r="E203" s="71">
        <f>SUMIF(SALIDAS!B:B,B203,SALIDAS!D:D)</f>
        <v>0</v>
      </c>
      <c r="F203" s="89">
        <f t="shared" si="1"/>
        <v>2</v>
      </c>
      <c r="G203" s="90"/>
      <c r="H203" s="90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</row>
    <row r="204">
      <c r="A204" s="79"/>
      <c r="B204" s="88" t="s">
        <v>474</v>
      </c>
      <c r="C204" s="71" t="str">
        <f>IFERROR(VLOOKUP(B204 ,INVENTARIO!B213:C1000,2,0),"")</f>
        <v>union doble</v>
      </c>
      <c r="D204" s="71">
        <f>SUMIF(ENTRADAS!B:B,B204,ENTRADAS!D:D)</f>
        <v>1</v>
      </c>
      <c r="E204" s="71">
        <f>SUMIF(SALIDAS!B:B,B204,SALIDAS!D:D)</f>
        <v>0</v>
      </c>
      <c r="F204" s="89">
        <f t="shared" si="1"/>
        <v>1</v>
      </c>
      <c r="G204" s="90"/>
      <c r="H204" s="90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</row>
    <row r="205">
      <c r="A205" s="79"/>
      <c r="B205" s="88" t="s">
        <v>475</v>
      </c>
      <c r="C205" s="71" t="str">
        <f>IFERROR(VLOOKUP(B205 ,INVENTARIO!B214:C1000,2,0),"")</f>
        <v>union doble</v>
      </c>
      <c r="D205" s="71">
        <f>SUMIF(ENTRADAS!B:B,B205,ENTRADAS!D:D)</f>
        <v>1</v>
      </c>
      <c r="E205" s="71">
        <f>SUMIF(SALIDAS!B:B,B205,SALIDAS!D:D)</f>
        <v>1</v>
      </c>
      <c r="F205" s="89">
        <f t="shared" si="1"/>
        <v>0</v>
      </c>
      <c r="G205" s="90"/>
      <c r="H205" s="90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</row>
    <row r="206">
      <c r="A206" s="79"/>
      <c r="B206" s="88" t="s">
        <v>476</v>
      </c>
      <c r="C206" s="71" t="str">
        <f>IFERROR(VLOOKUP(B206 ,INVENTARIO!B215:C1000,2,0),"")</f>
        <v>union doble</v>
      </c>
      <c r="D206" s="71">
        <f>SUMIF(ENTRADAS!B:B,B206,ENTRADAS!D:D)</f>
        <v>1</v>
      </c>
      <c r="E206" s="71">
        <f>SUMIF(SALIDAS!B:B,B206,SALIDAS!D:D)</f>
        <v>0</v>
      </c>
      <c r="F206" s="89">
        <f t="shared" si="1"/>
        <v>1</v>
      </c>
      <c r="G206" s="90"/>
      <c r="H206" s="90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</row>
    <row r="207">
      <c r="A207" s="79"/>
      <c r="B207" s="88" t="s">
        <v>477</v>
      </c>
      <c r="C207" s="71" t="str">
        <f>IFERROR(VLOOKUP(B207 ,INVENTARIO!B216:C1000,2,0),"")</f>
        <v>union de manguera</v>
      </c>
      <c r="D207" s="71">
        <f>SUMIF(ENTRADAS!B:B,B207,ENTRADAS!D:D)</f>
        <v>1</v>
      </c>
      <c r="E207" s="71">
        <f>SUMIF(SALIDAS!B:B,B207,SALIDAS!D:D)</f>
        <v>0</v>
      </c>
      <c r="F207" s="89">
        <f t="shared" si="1"/>
        <v>1</v>
      </c>
      <c r="G207" s="90"/>
      <c r="H207" s="90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</row>
    <row r="208">
      <c r="A208" s="79"/>
      <c r="B208" s="88" t="s">
        <v>479</v>
      </c>
      <c r="C208" s="71" t="str">
        <f>IFERROR(VLOOKUP(B208 ,INVENTARIO!B217:C1000,2,0),"")</f>
        <v>union de manguera</v>
      </c>
      <c r="D208" s="71">
        <f>SUMIF(ENTRADAS!B:B,B208,ENTRADAS!D:D)</f>
        <v>0</v>
      </c>
      <c r="E208" s="71">
        <f>SUMIF(SALIDAS!B:B,B208,SALIDAS!D:D)</f>
        <v>1</v>
      </c>
      <c r="F208" s="89">
        <f t="shared" si="1"/>
        <v>-1</v>
      </c>
      <c r="G208" s="90"/>
      <c r="H208" s="90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</row>
    <row r="209">
      <c r="A209" s="79"/>
      <c r="B209" s="88" t="s">
        <v>480</v>
      </c>
      <c r="C209" s="71" t="str">
        <f>IFERROR(VLOOKUP(B209 ,INVENTARIO!B218:C1000,2,0),"")</f>
        <v>union de manguera con rosca</v>
      </c>
      <c r="D209" s="71">
        <f>SUMIF(ENTRADAS!B:B,B209,ENTRADAS!D:D)</f>
        <v>0</v>
      </c>
      <c r="E209" s="71">
        <f>SUMIF(SALIDAS!B:B,B209,SALIDAS!D:D)</f>
        <v>0</v>
      </c>
      <c r="F209" s="89">
        <f t="shared" si="1"/>
        <v>0</v>
      </c>
      <c r="G209" s="90"/>
      <c r="H209" s="90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</row>
    <row r="210">
      <c r="A210" s="79"/>
      <c r="B210" s="88" t="s">
        <v>482</v>
      </c>
      <c r="C210" s="71" t="str">
        <f>IFERROR(VLOOKUP(B210 ,INVENTARIO!B219:C1000,2,0),"")</f>
        <v>caja de mando enbolsadora amf</v>
      </c>
      <c r="D210" s="71">
        <f>SUMIF(ENTRADAS!B:B,B210,ENTRADAS!D:D)</f>
        <v>0</v>
      </c>
      <c r="E210" s="71">
        <f>SUMIF(SALIDAS!B:B,B210,SALIDAS!D:D)</f>
        <v>0</v>
      </c>
      <c r="F210" s="89">
        <f t="shared" si="1"/>
        <v>0</v>
      </c>
      <c r="G210" s="90"/>
      <c r="H210" s="90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</row>
    <row r="211">
      <c r="A211" s="79"/>
      <c r="B211" s="88" t="s">
        <v>484</v>
      </c>
      <c r="C211" s="71" t="str">
        <f>IFERROR(VLOOKUP(B211 ,INVENTARIO!B220:C1000,2,0),"")</f>
        <v>R- 7,5 usado</v>
      </c>
      <c r="D211" s="71">
        <f>SUMIF(ENTRADAS!B:B,B211,ENTRADAS!D:D)</f>
        <v>3</v>
      </c>
      <c r="E211" s="71">
        <f>SUMIF(SALIDAS!B:B,B211,SALIDAS!D:D)</f>
        <v>0</v>
      </c>
      <c r="F211" s="89">
        <f t="shared" si="1"/>
        <v>3</v>
      </c>
      <c r="G211" s="90"/>
      <c r="H211" s="90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</row>
    <row r="212">
      <c r="A212" s="79"/>
      <c r="B212" s="88" t="s">
        <v>486</v>
      </c>
      <c r="C212" s="71" t="str">
        <f>IFERROR(VLOOKUP(B212 ,INVENTARIO!B221:C1000,2,0),"")</f>
        <v>R-7,5 Usado</v>
      </c>
      <c r="D212" s="71">
        <f>SUMIF(ENTRADAS!B:B,B212,ENTRADAS!D:D)</f>
        <v>1</v>
      </c>
      <c r="E212" s="71">
        <f>SUMIF(SALIDAS!B:B,B212,SALIDAS!D:D)</f>
        <v>0</v>
      </c>
      <c r="F212" s="89">
        <f t="shared" si="1"/>
        <v>1</v>
      </c>
      <c r="G212" s="90"/>
      <c r="H212" s="90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>
      <c r="A213" s="79"/>
      <c r="B213" s="88" t="s">
        <v>489</v>
      </c>
      <c r="C213" s="71" t="str">
        <f>IFERROR(VLOOKUP(B213 ,INVENTARIO!B222:C1000,2,0),"")</f>
        <v>R-7,5 Nuevo</v>
      </c>
      <c r="D213" s="71">
        <f>SUMIF(ENTRADAS!B:B,B213,ENTRADAS!D:D)</f>
        <v>4</v>
      </c>
      <c r="E213" s="71">
        <f>SUMIF(SALIDAS!B:B,B213,SALIDAS!D:D)</f>
        <v>1</v>
      </c>
      <c r="F213" s="89">
        <f t="shared" si="1"/>
        <v>3</v>
      </c>
      <c r="G213" s="90"/>
      <c r="H213" s="90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</row>
    <row r="214">
      <c r="A214" s="79"/>
      <c r="B214" s="88" t="s">
        <v>490</v>
      </c>
      <c r="C214" s="71" t="str">
        <f>IFERROR(VLOOKUP(B214 ,INVENTARIO!B223:C1000,2,0),"")</f>
        <v>R-60</v>
      </c>
      <c r="D214" s="71">
        <f>SUMIF(ENTRADAS!B:B,B214,ENTRADAS!D:D)</f>
        <v>1</v>
      </c>
      <c r="E214" s="71">
        <f>SUMIF(SALIDAS!B:B,B214,SALIDAS!D:D)</f>
        <v>0</v>
      </c>
      <c r="F214" s="89">
        <f t="shared" si="1"/>
        <v>1</v>
      </c>
      <c r="G214" s="90"/>
      <c r="H214" s="90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</row>
    <row r="215">
      <c r="A215" s="79"/>
      <c r="B215" s="88" t="s">
        <v>492</v>
      </c>
      <c r="C215" s="71" t="str">
        <f>IFERROR(VLOOKUP(B215 ,INVENTARIO!B224:C1000,2,0),"")</f>
        <v>R-1/30 (en tapas)</v>
      </c>
      <c r="D215" s="71">
        <f>SUMIF(ENTRADAS!B:B,B215,ENTRADAS!D:D)</f>
        <v>1</v>
      </c>
      <c r="E215" s="71">
        <f>SUMIF(SALIDAS!B:B,B215,SALIDAS!D:D)</f>
        <v>0</v>
      </c>
      <c r="F215" s="89">
        <f t="shared" si="1"/>
        <v>1</v>
      </c>
      <c r="G215" s="90"/>
      <c r="H215" s="90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</row>
    <row r="216">
      <c r="A216" s="79"/>
      <c r="B216" s="88" t="s">
        <v>1897</v>
      </c>
      <c r="C216" s="71" t="str">
        <f>IFERROR(VLOOKUP(B216 ,INVENTARIO!B225:C1000,2,0),"")</f>
        <v/>
      </c>
      <c r="D216" s="71">
        <f>SUMIF(ENTRADAS!B:B,B216,ENTRADAS!D:D)</f>
        <v>1</v>
      </c>
      <c r="E216" s="71">
        <f>SUMIF(SALIDAS!B:B,B216,SALIDAS!D:D)</f>
        <v>0</v>
      </c>
      <c r="F216" s="89">
        <f t="shared" si="1"/>
        <v>1</v>
      </c>
      <c r="G216" s="90"/>
      <c r="H216" s="90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</row>
    <row r="217">
      <c r="A217" s="79"/>
      <c r="B217" s="88" t="s">
        <v>513</v>
      </c>
      <c r="C217" s="71" t="str">
        <f>IFERROR(VLOOKUP(B217 ,INVENTARIO!B226:C1000,2,0),"")</f>
        <v>SALIDA REBANADORA</v>
      </c>
      <c r="D217" s="71">
        <f>SUMIF(ENTRADAS!B:B,B217,ENTRADAS!D:D)</f>
        <v>2</v>
      </c>
      <c r="E217" s="71">
        <f>SUMIF(SALIDAS!B:B,B217,SALIDAS!D:D)</f>
        <v>0</v>
      </c>
      <c r="F217" s="89">
        <f t="shared" si="1"/>
        <v>2</v>
      </c>
      <c r="G217" s="90"/>
      <c r="H217" s="90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</row>
    <row r="218">
      <c r="A218" s="79"/>
      <c r="B218" s="88" t="s">
        <v>519</v>
      </c>
      <c r="C218" s="71" t="str">
        <f>IFERROR(VLOOKUP(B218 ,INVENTARIO!B227:C1000,2,0),"")</f>
        <v>DOBLE NEUMAT PARA BANDEJAS DE BOLSAS AMF</v>
      </c>
      <c r="D218" s="71">
        <f>SUMIF(ENTRADAS!B:B,B218,ENTRADAS!D:D)</f>
        <v>1</v>
      </c>
      <c r="E218" s="71">
        <f>SUMIF(SALIDAS!B:B,B218,SALIDAS!D:D)</f>
        <v>0</v>
      </c>
      <c r="F218" s="89">
        <f t="shared" si="1"/>
        <v>1</v>
      </c>
      <c r="G218" s="90"/>
      <c r="H218" s="90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</row>
    <row r="219">
      <c r="A219" s="79"/>
      <c r="B219" s="88" t="s">
        <v>521</v>
      </c>
      <c r="C219" s="71" t="str">
        <f>IFERROR(VLOOKUP(B219 ,INVENTARIO!B228:C1000,2,0),"")</f>
        <v>VALVULA AGUJA PARA CALDERA</v>
      </c>
      <c r="D219" s="71">
        <f>SUMIF(ENTRADAS!B:B,B219,ENTRADAS!D:D)</f>
        <v>1</v>
      </c>
      <c r="E219" s="71">
        <f>SUMIF(SALIDAS!B:B,B219,SALIDAS!D:D)</f>
        <v>0</v>
      </c>
      <c r="F219" s="89">
        <f t="shared" si="1"/>
        <v>1</v>
      </c>
      <c r="G219" s="90"/>
      <c r="H219" s="90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</row>
    <row r="220">
      <c r="A220" s="79"/>
      <c r="B220" s="88" t="s">
        <v>524</v>
      </c>
      <c r="C220" s="71" t="str">
        <f>IFERROR(VLOOKUP(B220 ,INVENTARIO!B229:C1000,2,0),"")</f>
        <v>filtro regulador AMF bolleria FABRICACION</v>
      </c>
      <c r="D220" s="71">
        <f>SUMIF(ENTRADAS!B:B,B220,ENTRADAS!D:D)</f>
        <v>1</v>
      </c>
      <c r="E220" s="71">
        <f>SUMIF(SALIDAS!B:B,B220,SALIDAS!D:D)</f>
        <v>0</v>
      </c>
      <c r="F220" s="89">
        <f t="shared" si="1"/>
        <v>1</v>
      </c>
      <c r="G220" s="90"/>
      <c r="H220" s="90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</row>
    <row r="221">
      <c r="A221" s="79"/>
      <c r="B221" s="88" t="s">
        <v>530</v>
      </c>
      <c r="C221" s="71" t="str">
        <f>IFERROR(VLOOKUP(B221 ,INVENTARIO!B230:C1000,2,0),"")</f>
        <v>Bombas para agua</v>
      </c>
      <c r="D221" s="71">
        <f>SUMIF(ENTRADAS!B:B,B221,ENTRADAS!D:D)</f>
        <v>2</v>
      </c>
      <c r="E221" s="71">
        <f>SUMIF(SALIDAS!B:B,B221,SALIDAS!D:D)</f>
        <v>0</v>
      </c>
      <c r="F221" s="89">
        <f t="shared" si="1"/>
        <v>2</v>
      </c>
      <c r="G221" s="90"/>
      <c r="H221" s="90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</row>
    <row r="222">
      <c r="A222" s="79"/>
      <c r="B222" s="88" t="s">
        <v>1140</v>
      </c>
      <c r="C222" s="71" t="str">
        <f>IFERROR(VLOOKUP(B222 ,INVENTARIO!B231:C1000,2,0),"")</f>
        <v>KIT DE REP-K030A1</v>
      </c>
      <c r="D222" s="71">
        <f>SUMIF(ENTRADAS!B:B,B222,ENTRADAS!D:D)</f>
        <v>3</v>
      </c>
      <c r="E222" s="71">
        <f>SUMIF(SALIDAS!B:B,B222,SALIDAS!D:D)</f>
        <v>0</v>
      </c>
      <c r="F222" s="89">
        <f t="shared" si="1"/>
        <v>3</v>
      </c>
      <c r="G222" s="90"/>
      <c r="H222" s="90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</row>
    <row r="223">
      <c r="A223" s="79"/>
      <c r="B223" s="88" t="s">
        <v>534</v>
      </c>
      <c r="C223" s="71" t="str">
        <f>IFERROR(VLOOKUP(B223 ,INVENTARIO!B232:C1000,2,0),"")</f>
        <v>1090X50.8</v>
      </c>
      <c r="D223" s="71">
        <f>SUMIF(ENTRADAS!B:B,B223,ENTRADAS!D:D)</f>
        <v>4</v>
      </c>
      <c r="E223" s="71">
        <f>SUMIF(SALIDAS!B:B,B223,SALIDAS!D:D)</f>
        <v>0</v>
      </c>
      <c r="F223" s="89">
        <f t="shared" si="1"/>
        <v>4</v>
      </c>
      <c r="G223" s="90"/>
      <c r="H223" s="90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</row>
    <row r="224">
      <c r="A224" s="79"/>
      <c r="B224" s="88" t="s">
        <v>536</v>
      </c>
      <c r="C224" s="71" t="str">
        <f>IFERROR(VLOOKUP(B224 ,INVENTARIO!B233:C1000,2,0),"")</f>
        <v>1130X50.8</v>
      </c>
      <c r="D224" s="71">
        <f>SUMIF(ENTRADAS!B:B,B224,ENTRADAS!D:D)</f>
        <v>2</v>
      </c>
      <c r="E224" s="71">
        <f>SUMIF(SALIDAS!B:B,B224,SALIDAS!D:D)</f>
        <v>0</v>
      </c>
      <c r="F224" s="89">
        <f t="shared" si="1"/>
        <v>2</v>
      </c>
      <c r="G224" s="90"/>
      <c r="H224" s="90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>
      <c r="A225" s="79"/>
      <c r="B225" s="88" t="s">
        <v>538</v>
      </c>
      <c r="C225" s="71" t="str">
        <f>IFERROR(VLOOKUP(B225 ,INVENTARIO!B234:C1000,2,0),"")</f>
        <v>diam-100-long-1095</v>
      </c>
      <c r="D225" s="71">
        <f>SUMIF(ENTRADAS!B:B,B225,ENTRADAS!D:D)</f>
        <v>0</v>
      </c>
      <c r="E225" s="71">
        <f>SUMIF(SALIDAS!B:B,B225,SALIDAS!D:D)</f>
        <v>0</v>
      </c>
      <c r="F225" s="89">
        <f t="shared" si="1"/>
        <v>0</v>
      </c>
      <c r="G225" s="90"/>
      <c r="H225" s="90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</row>
    <row r="226">
      <c r="A226" s="79"/>
      <c r="B226" s="88" t="s">
        <v>541</v>
      </c>
      <c r="C226" s="71" t="str">
        <f>IFERROR(VLOOKUP(B226 ,INVENTARIO!B235:C1000,2,0),"")</f>
        <v>diam-100-long-950</v>
      </c>
      <c r="D226" s="71">
        <f>SUMIF(ENTRADAS!B:B,B226,ENTRADAS!D:D)</f>
        <v>1</v>
      </c>
      <c r="E226" s="71">
        <f>SUMIF(SALIDAS!B:B,B226,SALIDAS!D:D)</f>
        <v>0</v>
      </c>
      <c r="F226" s="89">
        <f t="shared" si="1"/>
        <v>1</v>
      </c>
      <c r="G226" s="90"/>
      <c r="H226" s="90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</row>
    <row r="227">
      <c r="A227" s="79"/>
      <c r="B227" s="88" t="s">
        <v>544</v>
      </c>
      <c r="C227" s="71" t="str">
        <f>IFERROR(VLOOKUP(B227 ,INVENTARIO!B236:C1000,2,0),"")</f>
        <v>diam-32-long-575</v>
      </c>
      <c r="D227" s="71">
        <f>SUMIF(ENTRADAS!B:B,B227,ENTRADAS!D:D)</f>
        <v>0</v>
      </c>
      <c r="E227" s="71">
        <f>SUMIF(SALIDAS!B:B,B227,SALIDAS!D:D)</f>
        <v>0</v>
      </c>
      <c r="F227" s="89">
        <f t="shared" si="1"/>
        <v>0</v>
      </c>
      <c r="G227" s="90"/>
      <c r="H227" s="90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</row>
    <row r="228">
      <c r="A228" s="79"/>
      <c r="B228" s="88" t="s">
        <v>547</v>
      </c>
      <c r="C228" s="71" t="str">
        <f>IFERROR(VLOOKUP(B228 ,INVENTARIO!B237:C1000,2,0),"")</f>
        <v>diam-46.5-long-545</v>
      </c>
      <c r="D228" s="71">
        <f>SUMIF(ENTRADAS!B:B,B228,ENTRADAS!D:D)</f>
        <v>0</v>
      </c>
      <c r="E228" s="71">
        <f>SUMIF(SALIDAS!B:B,B228,SALIDAS!D:D)</f>
        <v>0</v>
      </c>
      <c r="F228" s="89">
        <f t="shared" si="1"/>
        <v>0</v>
      </c>
      <c r="G228" s="90"/>
      <c r="H228" s="90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</row>
    <row r="229">
      <c r="A229" s="79"/>
      <c r="B229" s="88" t="s">
        <v>550</v>
      </c>
      <c r="C229" s="71" t="str">
        <f>IFERROR(VLOOKUP(B229 ,INVENTARIO!B238:C1000,2,0),"")</f>
        <v>de rodillo-tensor</v>
      </c>
      <c r="D229" s="71">
        <f>SUMIF(ENTRADAS!B:B,B229,ENTRADAS!D:D)</f>
        <v>1</v>
      </c>
      <c r="E229" s="71">
        <f>SUMIF(SALIDAS!B:B,B229,SALIDAS!D:D)</f>
        <v>0</v>
      </c>
      <c r="F229" s="89">
        <f t="shared" si="1"/>
        <v>1</v>
      </c>
      <c r="G229" s="90"/>
      <c r="H229" s="90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</row>
    <row r="230">
      <c r="A230" s="79"/>
      <c r="B230" s="88" t="s">
        <v>553</v>
      </c>
      <c r="C230" s="71" t="str">
        <f>IFERROR(VLOOKUP(B230 ,INVENTARIO!B239:C1000,2,0),"")</f>
        <v>de rodillo-guia</v>
      </c>
      <c r="D230" s="71">
        <f>SUMIF(ENTRADAS!B:B,B230,ENTRADAS!D:D)</f>
        <v>1</v>
      </c>
      <c r="E230" s="71">
        <f>SUMIF(SALIDAS!B:B,B230,SALIDAS!D:D)</f>
        <v>0</v>
      </c>
      <c r="F230" s="89">
        <f t="shared" si="1"/>
        <v>1</v>
      </c>
      <c r="G230" s="90"/>
      <c r="H230" s="90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</row>
    <row r="231">
      <c r="A231" s="79"/>
      <c r="B231" s="88" t="s">
        <v>555</v>
      </c>
      <c r="C231" s="71" t="str">
        <f>IFERROR(VLOOKUP(B231 ,INVENTARIO!B240:C1000,2,0),"")</f>
        <v>diam-48 long-560</v>
      </c>
      <c r="D231" s="71">
        <f>SUMIF(ENTRADAS!B:B,B231,ENTRADAS!D:D)</f>
        <v>0</v>
      </c>
      <c r="E231" s="71">
        <f>SUMIF(SALIDAS!B:B,B231,SALIDAS!D:D)</f>
        <v>0</v>
      </c>
      <c r="F231" s="89">
        <f t="shared" si="1"/>
        <v>0</v>
      </c>
      <c r="G231" s="90"/>
      <c r="H231" s="90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</row>
    <row r="232">
      <c r="A232" s="79"/>
      <c r="B232" s="88" t="s">
        <v>558</v>
      </c>
      <c r="C232" s="71" t="str">
        <f>IFERROR(VLOOKUP(B232 ,INVENTARIO!B241:C1000,2,0),"")</f>
        <v>diam-48 long-475</v>
      </c>
      <c r="D232" s="71">
        <f>SUMIF(ENTRADAS!B:B,B232,ENTRADAS!D:D)</f>
        <v>0</v>
      </c>
      <c r="E232" s="71">
        <f>SUMIF(SALIDAS!B:B,B232,SALIDAS!D:D)</f>
        <v>0</v>
      </c>
      <c r="F232" s="89">
        <f t="shared" si="1"/>
        <v>0</v>
      </c>
      <c r="G232" s="90"/>
      <c r="H232" s="90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</row>
    <row r="233">
      <c r="A233" s="79"/>
      <c r="B233" s="88" t="s">
        <v>561</v>
      </c>
      <c r="C233" s="71" t="str">
        <f>IFERROR(VLOOKUP(B233 ,INVENTARIO!B242:C1000,2,0),"")</f>
        <v>eje para bandas</v>
      </c>
      <c r="D233" s="71">
        <f>SUMIF(ENTRADAS!B:B,B233,ENTRADAS!D:D)</f>
        <v>2</v>
      </c>
      <c r="E233" s="71">
        <f>SUMIF(SALIDAS!B:B,B233,SALIDAS!D:D)</f>
        <v>0</v>
      </c>
      <c r="F233" s="89">
        <f t="shared" si="1"/>
        <v>2</v>
      </c>
      <c r="G233" s="90"/>
      <c r="H233" s="90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</row>
    <row r="234">
      <c r="A234" s="79"/>
      <c r="B234" s="88" t="s">
        <v>567</v>
      </c>
      <c r="C234" s="71" t="str">
        <f>IFERROR(VLOOKUP(B234 ,INVENTARIO!B243:C1000,2,0),"")</f>
        <v>filtro de gasoil</v>
      </c>
      <c r="D234" s="71">
        <f>SUMIF(ENTRADAS!B:B,B234,ENTRADAS!D:D)</f>
        <v>1</v>
      </c>
      <c r="E234" s="71">
        <f>SUMIF(SALIDAS!B:B,B234,SALIDAS!D:D)</f>
        <v>0</v>
      </c>
      <c r="F234" s="89">
        <f t="shared" si="1"/>
        <v>1</v>
      </c>
      <c r="G234" s="90"/>
      <c r="H234" s="90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</row>
    <row r="235">
      <c r="A235" s="79"/>
      <c r="B235" s="88" t="s">
        <v>573</v>
      </c>
      <c r="C235" s="71" t="str">
        <f>IFERROR(VLOOKUP(B235 ,INVENTARIO!B244:C1000,2,0),"")</f>
        <v>Bomba de vacío piabe</v>
      </c>
      <c r="D235" s="71">
        <f>SUMIF(ENTRADAS!B:B,B235,ENTRADAS!D:D)</f>
        <v>1</v>
      </c>
      <c r="E235" s="71">
        <f>SUMIF(SALIDAS!B:B,B235,SALIDAS!D:D)</f>
        <v>0</v>
      </c>
      <c r="F235" s="89">
        <f t="shared" si="1"/>
        <v>1</v>
      </c>
      <c r="G235" s="90"/>
      <c r="H235" s="90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</row>
    <row r="236">
      <c r="A236" s="79"/>
      <c r="B236" s="88" t="s">
        <v>576</v>
      </c>
      <c r="C236" s="71" t="str">
        <f>IFERROR(VLOOKUP(B236 ,INVENTARIO!B245:C1000,2,0),"")</f>
        <v>Bomba de agua pelton para caldera reparada</v>
      </c>
      <c r="D236" s="71">
        <f>SUMIF(ENTRADAS!B:B,B236,ENTRADAS!D:D)</f>
        <v>1</v>
      </c>
      <c r="E236" s="71">
        <f>SUMIF(SALIDAS!B:B,B236,SALIDAS!D:D)</f>
        <v>0</v>
      </c>
      <c r="F236" s="89">
        <f t="shared" si="1"/>
        <v>1</v>
      </c>
      <c r="G236" s="90"/>
      <c r="H236" s="90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>
      <c r="A237" s="79"/>
      <c r="B237" s="88" t="s">
        <v>579</v>
      </c>
      <c r="C237" s="71" t="str">
        <f>IFERROR(VLOOKUP(B237 ,INVENTARIO!B246:C1000,2,0),"")</f>
        <v>embrague camión mercedez benz</v>
      </c>
      <c r="D237" s="71">
        <f>SUMIF(ENTRADAS!B:B,B237,ENTRADAS!D:D)</f>
        <v>1</v>
      </c>
      <c r="E237" s="71">
        <f>SUMIF(SALIDAS!B:B,B237,SALIDAS!D:D)</f>
        <v>0</v>
      </c>
      <c r="F237" s="89">
        <f t="shared" si="1"/>
        <v>1</v>
      </c>
      <c r="G237" s="90"/>
      <c r="H237" s="90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</row>
    <row r="238">
      <c r="A238" s="79"/>
      <c r="B238" s="88" t="s">
        <v>582</v>
      </c>
      <c r="C238" s="71" t="str">
        <f>IFERROR(VLOOKUP(B238 ,INVENTARIO!B247:C1000,2,0),"")</f>
        <v>Puente -cardan</v>
      </c>
      <c r="D238" s="71">
        <f>SUMIF(ENTRADAS!B:B,B238,ENTRADAS!D:D)</f>
        <v>1</v>
      </c>
      <c r="E238" s="71">
        <f>SUMIF(SALIDAS!B:B,B238,SALIDAS!D:D)</f>
        <v>0</v>
      </c>
      <c r="F238" s="89">
        <f t="shared" si="1"/>
        <v>1</v>
      </c>
      <c r="G238" s="90"/>
      <c r="H238" s="90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</row>
    <row r="239">
      <c r="A239" s="79"/>
      <c r="B239" s="88" t="s">
        <v>584</v>
      </c>
      <c r="C239" s="71" t="str">
        <f>IFERROR(VLOOKUP(B239 ,INVENTARIO!B248:C1000,2,0),"")</f>
        <v>burro-de arranque</v>
      </c>
      <c r="D239" s="71">
        <f>SUMIF(ENTRADAS!B:B,B239,ENTRADAS!D:D)</f>
        <v>1</v>
      </c>
      <c r="E239" s="71">
        <f>SUMIF(SALIDAS!B:B,B239,SALIDAS!D:D)</f>
        <v>0</v>
      </c>
      <c r="F239" s="89">
        <f t="shared" si="1"/>
        <v>1</v>
      </c>
      <c r="G239" s="90"/>
      <c r="H239" s="90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</row>
    <row r="240">
      <c r="A240" s="79"/>
      <c r="B240" s="88" t="s">
        <v>586</v>
      </c>
      <c r="C240" s="71" t="str">
        <f>IFERROR(VLOOKUP(B240 ,INVENTARIO!B249:C1000,2,0),"")</f>
        <v>alternador-corriente</v>
      </c>
      <c r="D240" s="71">
        <f>SUMIF(ENTRADAS!B:B,B240,ENTRADAS!D:D)</f>
        <v>1</v>
      </c>
      <c r="E240" s="71">
        <f>SUMIF(SALIDAS!B:B,B240,SALIDAS!D:D)</f>
        <v>0</v>
      </c>
      <c r="F240" s="89">
        <f t="shared" si="1"/>
        <v>1</v>
      </c>
      <c r="G240" s="90"/>
      <c r="H240" s="90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</row>
    <row r="241">
      <c r="A241" s="79"/>
      <c r="B241" s="88" t="s">
        <v>588</v>
      </c>
      <c r="C241" s="71" t="str">
        <f>IFERROR(VLOOKUP(B241 ,INVENTARIO!B250:C1000,2,0),"")</f>
        <v>intercambiador</v>
      </c>
      <c r="D241" s="71">
        <f>SUMIF(ENTRADAS!B:B,B241,ENTRADAS!D:D)</f>
        <v>2</v>
      </c>
      <c r="E241" s="71">
        <f>SUMIF(SALIDAS!B:B,B241,SALIDAS!D:D)</f>
        <v>0</v>
      </c>
      <c r="F241" s="89">
        <f t="shared" si="1"/>
        <v>2</v>
      </c>
      <c r="G241" s="90"/>
      <c r="H241" s="90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>
      <c r="A242" s="79"/>
      <c r="B242" s="88" t="s">
        <v>591</v>
      </c>
      <c r="C242" s="71" t="str">
        <f>IFERROR(VLOOKUP(B242 ,INVENTARIO!B251:C1000,2,0),"")</f>
        <v>corona/76 dientes</v>
      </c>
      <c r="D242" s="71">
        <f>SUMIF(ENTRADAS!B:B,B242,ENTRADAS!D:D)</f>
        <v>1</v>
      </c>
      <c r="E242" s="71">
        <f>SUMIF(SALIDAS!B:B,B242,SALIDAS!D:D)</f>
        <v>0</v>
      </c>
      <c r="F242" s="89">
        <f t="shared" si="1"/>
        <v>1</v>
      </c>
      <c r="G242" s="90"/>
      <c r="H242" s="90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</row>
    <row r="243">
      <c r="A243" s="79"/>
      <c r="B243" s="88" t="s">
        <v>594</v>
      </c>
      <c r="C243" s="71" t="str">
        <f>IFERROR(VLOOKUP(B243 ,INVENTARIO!B252:C1000,2,0),"")</f>
        <v>corona/72-dientes</v>
      </c>
      <c r="D243" s="71">
        <f>SUMIF(ENTRADAS!B:B,B243,ENTRADAS!D:D)</f>
        <v>2</v>
      </c>
      <c r="E243" s="71">
        <f>SUMIF(SALIDAS!B:B,B243,SALIDAS!D:D)</f>
        <v>0</v>
      </c>
      <c r="F243" s="89">
        <f t="shared" si="1"/>
        <v>2</v>
      </c>
      <c r="G243" s="90"/>
      <c r="H243" s="90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</row>
    <row r="244">
      <c r="A244" s="79"/>
      <c r="B244" s="88" t="s">
        <v>597</v>
      </c>
      <c r="C244" s="71" t="str">
        <f>IFERROR(VLOOKUP(B244 ,INVENTARIO!B253:C1000,2,0),"")</f>
        <v>diam-100-long-610</v>
      </c>
      <c r="D244" s="71">
        <f>SUMIF(ENTRADAS!B:B,B244,ENTRADAS!D:D)</f>
        <v>4</v>
      </c>
      <c r="E244" s="71">
        <f>SUMIF(SALIDAS!B:B,B244,SALIDAS!D:D)</f>
        <v>0</v>
      </c>
      <c r="F244" s="89">
        <f t="shared" si="1"/>
        <v>4</v>
      </c>
      <c r="G244" s="90"/>
      <c r="H244" s="90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</row>
    <row r="245">
      <c r="A245" s="79"/>
      <c r="B245" s="88" t="s">
        <v>600</v>
      </c>
      <c r="C245" s="71" t="str">
        <f>IFERROR(VLOOKUP(B245 ,INVENTARIO!B254:C1000,2,0),"")</f>
        <v>diam-100-long-590</v>
      </c>
      <c r="D245" s="71">
        <f>SUMIF(ENTRADAS!B:B,B245,ENTRADAS!D:D)</f>
        <v>1</v>
      </c>
      <c r="E245" s="71">
        <f>SUMIF(SALIDAS!B:B,B245,SALIDAS!D:D)</f>
        <v>0</v>
      </c>
      <c r="F245" s="89">
        <f t="shared" si="1"/>
        <v>1</v>
      </c>
      <c r="G245" s="90"/>
      <c r="H245" s="90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</row>
    <row r="246">
      <c r="A246" s="79"/>
      <c r="B246" s="88" t="s">
        <v>603</v>
      </c>
      <c r="C246" s="71" t="str">
        <f>IFERROR(VLOOKUP(B246 ,INVENTARIO!B255:C1000,2,0),"")</f>
        <v>diam-47-long-400</v>
      </c>
      <c r="D246" s="71">
        <f>SUMIF(ENTRADAS!B:B,B246,ENTRADAS!D:D)</f>
        <v>1</v>
      </c>
      <c r="E246" s="71">
        <f>SUMIF(SALIDAS!B:B,B246,SALIDAS!D:D)</f>
        <v>0</v>
      </c>
      <c r="F246" s="89">
        <f t="shared" si="1"/>
        <v>1</v>
      </c>
      <c r="G246" s="90"/>
      <c r="H246" s="90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</row>
    <row r="247">
      <c r="A247" s="79"/>
      <c r="B247" s="88" t="s">
        <v>606</v>
      </c>
      <c r="C247" s="71" t="str">
        <f>IFERROR(VLOOKUP(B247 ,INVENTARIO!B255:C1000,2,0),"")</f>
        <v>diam-48-long-540</v>
      </c>
      <c r="D247" s="71">
        <f>SUMIF(ENTRADAS!B:B,B247,ENTRADAS!D:D)</f>
        <v>0</v>
      </c>
      <c r="E247" s="71">
        <f>SUMIF(SALIDAS!B:B,B247,SALIDAS!D:D)</f>
        <v>0</v>
      </c>
      <c r="F247" s="89">
        <f t="shared" si="1"/>
        <v>0</v>
      </c>
      <c r="G247" s="90"/>
      <c r="H247" s="90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</row>
    <row r="248">
      <c r="A248" s="79"/>
      <c r="B248" s="88" t="s">
        <v>609</v>
      </c>
      <c r="C248" s="71" t="str">
        <f>IFERROR(VLOOKUP(B248 ,INVENTARIO!B256:C1000,2,0),"")</f>
        <v>diam-48.6-long-435</v>
      </c>
      <c r="D248" s="71">
        <f>SUMIF(ENTRADAS!B:B,B248,ENTRADAS!D:D)</f>
        <v>2</v>
      </c>
      <c r="E248" s="71">
        <f>SUMIF(SALIDAS!B:B,B248,SALIDAS!D:D)</f>
        <v>0</v>
      </c>
      <c r="F248" s="89">
        <f t="shared" si="1"/>
        <v>2</v>
      </c>
      <c r="G248" s="90"/>
      <c r="H248" s="90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</row>
    <row r="249">
      <c r="A249" s="79"/>
      <c r="B249" s="88" t="s">
        <v>612</v>
      </c>
      <c r="C249" s="71" t="str">
        <f>IFERROR(VLOOKUP(B249 ,INVENTARIO!B257:C1000,2,0),"")</f>
        <v>diam- -long-610</v>
      </c>
      <c r="D249" s="71">
        <f>SUMIF(ENTRADAS!B:B,B249,ENTRADAS!D:D)</f>
        <v>0</v>
      </c>
      <c r="E249" s="71">
        <f>SUMIF(SALIDAS!B:B,B249,SALIDAS!D:D)</f>
        <v>0</v>
      </c>
      <c r="F249" s="89">
        <f t="shared" si="1"/>
        <v>0</v>
      </c>
      <c r="G249" s="90"/>
      <c r="H249" s="90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</row>
    <row r="250">
      <c r="A250" s="79"/>
      <c r="B250" s="88" t="s">
        <v>615</v>
      </c>
      <c r="C250" s="71" t="str">
        <f>IFERROR(VLOOKUP(B250 ,INVENTARIO!B258:C1000,2,0),"")</f>
        <v>diam-48-long-465</v>
      </c>
      <c r="D250" s="71">
        <f>SUMIF(ENTRADAS!B:B,B250,ENTRADAS!D:D)</f>
        <v>2</v>
      </c>
      <c r="E250" s="71">
        <f>SUMIF(SALIDAS!B:B,B250,SALIDAS!D:D)</f>
        <v>0</v>
      </c>
      <c r="F250" s="89">
        <f t="shared" si="1"/>
        <v>2</v>
      </c>
      <c r="G250" s="90"/>
      <c r="H250" s="90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</row>
    <row r="251">
      <c r="A251" s="79"/>
      <c r="B251" s="88" t="s">
        <v>618</v>
      </c>
      <c r="C251" s="71" t="str">
        <f>IFERROR(VLOOKUP(B251 ,INVENTARIO!B259:C1000,2,0),"")</f>
        <v>diam-48.6 long-400</v>
      </c>
      <c r="D251" s="71">
        <f>SUMIF(ENTRADAS!B:B,B251,ENTRADAS!D:D)</f>
        <v>1</v>
      </c>
      <c r="E251" s="71">
        <f>SUMIF(SALIDAS!B:B,B251,SALIDAS!D:D)</f>
        <v>0</v>
      </c>
      <c r="F251" s="89">
        <f t="shared" si="1"/>
        <v>1</v>
      </c>
      <c r="G251" s="90"/>
      <c r="H251" s="90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</row>
    <row r="252">
      <c r="A252" s="79"/>
      <c r="B252" s="88" t="s">
        <v>620</v>
      </c>
      <c r="C252" s="71" t="str">
        <f>IFERROR(VLOOKUP(B252 ,INVENTARIO!B260:C1000,2,0),"")</f>
        <v>diam-47-long-310</v>
      </c>
      <c r="D252" s="71">
        <f>SUMIF(ENTRADAS!B:B,B252,ENTRADAS!D:D)</f>
        <v>1</v>
      </c>
      <c r="E252" s="71">
        <f>SUMIF(SALIDAS!B:B,B252,SALIDAS!D:D)</f>
        <v>0</v>
      </c>
      <c r="F252" s="89">
        <f t="shared" si="1"/>
        <v>1</v>
      </c>
      <c r="G252" s="90"/>
      <c r="H252" s="90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</row>
    <row r="253">
      <c r="A253" s="79"/>
      <c r="B253" s="88" t="s">
        <v>623</v>
      </c>
      <c r="C253" s="71" t="str">
        <f>IFERROR(VLOOKUP(B253 ,INVENTARIO!B267:C1000,2,0),"")</f>
        <v>diam- -long-515</v>
      </c>
      <c r="D253" s="71">
        <f>SUMIF(ENTRADAS!B:B,B253,ENTRADAS!D:D)</f>
        <v>0</v>
      </c>
      <c r="E253" s="71">
        <f>SUMIF(SALIDAS!B:B,B253,SALIDAS!D:D)</f>
        <v>0</v>
      </c>
      <c r="F253" s="89">
        <f t="shared" si="1"/>
        <v>0</v>
      </c>
      <c r="G253" s="90"/>
      <c r="H253" s="90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</row>
    <row r="254">
      <c r="A254" s="79"/>
      <c r="B254" s="88" t="s">
        <v>626</v>
      </c>
      <c r="C254" s="71" t="str">
        <f>IFERROR(VLOOKUP(B254 ,INVENTARIO!B267:C1000,2,0),"")</f>
        <v>cuchilla con guias</v>
      </c>
      <c r="D254" s="71">
        <f>SUMIF(ENTRADAS!B:B,B254,ENTRADAS!D:D)</f>
        <v>1</v>
      </c>
      <c r="E254" s="71">
        <f>SUMIF(SALIDAS!B:B,B254,SALIDAS!D:D)</f>
        <v>0</v>
      </c>
      <c r="F254" s="89">
        <f t="shared" si="1"/>
        <v>1</v>
      </c>
      <c r="G254" s="90"/>
      <c r="H254" s="90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</row>
    <row r="255">
      <c r="A255" s="79"/>
      <c r="B255" s="88" t="s">
        <v>629</v>
      </c>
      <c r="C255" s="71" t="str">
        <f>IFERROR(VLOOKUP(B255 ,INVENTARIO!B268:C1000,2,0),"")</f>
        <v>val-seg- 3,1kg</v>
      </c>
      <c r="D255" s="71">
        <f>SUMIF(ENTRADAS!B:B,B255,ENTRADAS!D:D)</f>
        <v>2</v>
      </c>
      <c r="E255" s="71">
        <f>SUMIF(SALIDAS!B:B,B255,SALIDAS!D:D)</f>
        <v>0</v>
      </c>
      <c r="F255" s="89">
        <f t="shared" si="1"/>
        <v>2</v>
      </c>
      <c r="G255" s="90"/>
      <c r="H255" s="90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</row>
    <row r="256">
      <c r="A256" s="79"/>
      <c r="B256" s="88" t="s">
        <v>632</v>
      </c>
      <c r="C256" s="71" t="str">
        <f>IFERROR(VLOOKUP(B256 ,INVENTARIO!B270:C1000,2,0),"")</f>
        <v>val-seg-11kg</v>
      </c>
      <c r="D256" s="71">
        <f>SUMIF(ENTRADAS!B:B,B256,ENTRADAS!D:D)</f>
        <v>1</v>
      </c>
      <c r="E256" s="71">
        <f>SUMIF(SALIDAS!B:B,B256,SALIDAS!D:D)</f>
        <v>0</v>
      </c>
      <c r="F256" s="89">
        <f t="shared" si="1"/>
        <v>1</v>
      </c>
      <c r="G256" s="90"/>
      <c r="H256" s="90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</row>
    <row r="257">
      <c r="A257" s="79"/>
      <c r="B257" s="88" t="s">
        <v>637</v>
      </c>
      <c r="C257" s="71" t="str">
        <f>IFERROR(VLOOKUP(B257 ,INVENTARIO!B271:C1000,2,0),"")</f>
        <v>chupetes- nuevos</v>
      </c>
      <c r="D257" s="71">
        <f>SUMIF(ENTRADAS!B:B,B257,ENTRADAS!D:D)</f>
        <v>80</v>
      </c>
      <c r="E257" s="71">
        <f>SUMIF(SALIDAS!B:B,B257,SALIDAS!D:D)</f>
        <v>0</v>
      </c>
      <c r="F257" s="89">
        <f t="shared" si="1"/>
        <v>80</v>
      </c>
      <c r="G257" s="90"/>
      <c r="H257" s="90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</row>
    <row r="258">
      <c r="A258" s="79"/>
      <c r="B258" s="88" t="s">
        <v>640</v>
      </c>
      <c r="C258" s="71" t="str">
        <f>IFERROR(VLOOKUP(B258 ,INVENTARIO!B272:C1000,2,0),"")</f>
        <v>chupetes usados</v>
      </c>
      <c r="D258" s="71">
        <f>SUMIF(ENTRADAS!B:B,B258,ENTRADAS!D:D)</f>
        <v>0</v>
      </c>
      <c r="E258" s="71">
        <f>SUMIF(SALIDAS!B:B,B258,SALIDAS!D:D)</f>
        <v>0</v>
      </c>
      <c r="F258" s="89">
        <f t="shared" si="1"/>
        <v>0</v>
      </c>
      <c r="G258" s="90"/>
      <c r="H258" s="90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</row>
    <row r="259">
      <c r="A259" s="79"/>
      <c r="B259" s="88" t="s">
        <v>643</v>
      </c>
      <c r="C259" s="71" t="str">
        <f>IFERROR(VLOOKUP(B259 ,INVENTARIO!B274:C1000,2,0),"")</f>
        <v>soportes usados</v>
      </c>
      <c r="D259" s="71">
        <f>SUMIF(ENTRADAS!B:B,B259,ENTRADAS!D:D)</f>
        <v>15</v>
      </c>
      <c r="E259" s="71">
        <f>SUMIF(SALIDAS!B:B,B259,SALIDAS!D:D)</f>
        <v>0</v>
      </c>
      <c r="F259" s="89">
        <f t="shared" si="1"/>
        <v>15</v>
      </c>
      <c r="G259" s="90"/>
      <c r="H259" s="90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</row>
    <row r="260">
      <c r="A260" s="79"/>
      <c r="B260" s="88" t="s">
        <v>646</v>
      </c>
      <c r="C260" s="71" t="str">
        <f>IFERROR(VLOOKUP(B260 ,INVENTARIO!B275:C1000,2,0),"")</f>
        <v>PORTA ROD-LAM-</v>
      </c>
      <c r="D260" s="71">
        <f>SUMIF(ENTRADAS!B:B,B260,ENTRADAS!D:D)</f>
        <v>4</v>
      </c>
      <c r="E260" s="71">
        <f>SUMIF(SALIDAS!B:B,B260,SALIDAS!D:D)</f>
        <v>0</v>
      </c>
      <c r="F260" s="89">
        <f t="shared" si="1"/>
        <v>4</v>
      </c>
      <c r="G260" s="90"/>
      <c r="H260" s="90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</row>
    <row r="261">
      <c r="A261" s="79"/>
      <c r="B261" s="88" t="s">
        <v>649</v>
      </c>
      <c r="C261" s="71" t="str">
        <f>IFERROR(VLOOKUP(B261 ,INVENTARIO!B276:C1000,2,0),"")</f>
        <v>340X4080mm</v>
      </c>
      <c r="D261" s="71">
        <f>SUMIF(ENTRADAS!B:B,B261,ENTRADAS!D:D)</f>
        <v>1</v>
      </c>
      <c r="E261" s="71">
        <f>SUMIF(SALIDAS!B:B,B261,SALIDAS!D:D)</f>
        <v>0</v>
      </c>
      <c r="F261" s="89">
        <f t="shared" si="1"/>
        <v>1</v>
      </c>
      <c r="G261" s="90"/>
      <c r="H261" s="90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</row>
    <row r="262">
      <c r="A262" s="79"/>
      <c r="B262" s="88" t="s">
        <v>652</v>
      </c>
      <c r="C262" s="71" t="str">
        <f>IFERROR(VLOOKUP(B262 ,INVENTARIO!B276:C1000,2,0),"")</f>
        <v>340x7430mm</v>
      </c>
      <c r="D262" s="71">
        <f>SUMIF(ENTRADAS!B:B,B262,ENTRADAS!D:D)</f>
        <v>3</v>
      </c>
      <c r="E262" s="71">
        <f>SUMIF(SALIDAS!B:B,B262,SALIDAS!D:D)</f>
        <v>0</v>
      </c>
      <c r="F262" s="89">
        <f t="shared" si="1"/>
        <v>3</v>
      </c>
      <c r="G262" s="90"/>
      <c r="H262" s="90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</row>
    <row r="263">
      <c r="A263" s="79"/>
      <c r="B263" s="88" t="s">
        <v>654</v>
      </c>
      <c r="C263" s="71" t="str">
        <f>IFERROR(VLOOKUP(B263 ,INVENTARIO!B277:C1000,2,0),"")</f>
        <v>340x4750mm</v>
      </c>
      <c r="D263" s="71">
        <f>SUMIF(ENTRADAS!B:B,B263,ENTRADAS!D:D)</f>
        <v>1</v>
      </c>
      <c r="E263" s="71">
        <f>SUMIF(SALIDAS!B:B,B263,SALIDAS!D:D)</f>
        <v>0</v>
      </c>
      <c r="F263" s="89">
        <f t="shared" si="1"/>
        <v>1</v>
      </c>
      <c r="G263" s="90"/>
      <c r="H263" s="90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</row>
    <row r="264">
      <c r="A264" s="79"/>
      <c r="B264" s="88" t="s">
        <v>656</v>
      </c>
      <c r="C264" s="71" t="str">
        <f>IFERROR(VLOOKUP(B264 ,INVENTARIO!B278:C1000,2,0),"")</f>
        <v>340x4250mm</v>
      </c>
      <c r="D264" s="71">
        <f>SUMIF(ENTRADAS!B:B,B264,ENTRADAS!D:D)</f>
        <v>1</v>
      </c>
      <c r="E264" s="71">
        <f>SUMIF(SALIDAS!B:B,B264,SALIDAS!D:D)</f>
        <v>0</v>
      </c>
      <c r="F264" s="89">
        <f t="shared" si="1"/>
        <v>1</v>
      </c>
      <c r="G264" s="90"/>
      <c r="H264" s="90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</row>
    <row r="265">
      <c r="A265" s="79"/>
      <c r="B265" s="88" t="s">
        <v>658</v>
      </c>
      <c r="C265" s="71" t="str">
        <f>IFERROR(VLOOKUP(B265 ,INVENTARIO!B279:C1000,2,0),"")</f>
        <v>230X3890mm</v>
      </c>
      <c r="D265" s="71">
        <f>SUMIF(ENTRADAS!B:B,B265,ENTRADAS!D:D)</f>
        <v>0</v>
      </c>
      <c r="E265" s="71">
        <f>SUMIF(SALIDAS!B:B,B265,SALIDAS!D:D)</f>
        <v>0</v>
      </c>
      <c r="F265" s="89">
        <f t="shared" si="1"/>
        <v>0</v>
      </c>
      <c r="G265" s="90"/>
      <c r="H265" s="90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</row>
    <row r="266">
      <c r="A266" s="79"/>
      <c r="B266" s="88" t="s">
        <v>660</v>
      </c>
      <c r="C266" s="71" t="str">
        <f>IFERROR(VLOOKUP(B266 ,INVENTARIO!B280:C1000,2,0),"")</f>
        <v>230X1510mm</v>
      </c>
      <c r="D266" s="71">
        <f>SUMIF(ENTRADAS!B:B,B266,ENTRADAS!D:D)</f>
        <v>0</v>
      </c>
      <c r="E266" s="71">
        <f>SUMIF(SALIDAS!B:B,B266,SALIDAS!D:D)</f>
        <v>0</v>
      </c>
      <c r="F266" s="89">
        <f t="shared" si="1"/>
        <v>0</v>
      </c>
      <c r="G266" s="90"/>
      <c r="H266" s="90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</row>
    <row r="267">
      <c r="A267" s="79"/>
      <c r="B267" s="88" t="s">
        <v>665</v>
      </c>
      <c r="C267" s="71" t="str">
        <f>IFERROR(VLOOKUP(B267 ,INVENTARIO!B281:C1000,2,0),"")</f>
        <v>400X8010mm</v>
      </c>
      <c r="D267" s="71">
        <f>SUMIF(ENTRADAS!B:B,B267,ENTRADAS!D:D)</f>
        <v>1</v>
      </c>
      <c r="E267" s="71">
        <f>SUMIF(SALIDAS!B:B,B267,SALIDAS!D:D)</f>
        <v>0</v>
      </c>
      <c r="F267" s="89">
        <f t="shared" si="1"/>
        <v>1</v>
      </c>
      <c r="G267" s="90"/>
      <c r="H267" s="90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</row>
    <row r="268">
      <c r="A268" s="79"/>
      <c r="B268" s="88" t="s">
        <v>668</v>
      </c>
      <c r="C268" s="71" t="str">
        <f>IFERROR(VLOOKUP(B268 ,INVENTARIO!B282:C1000,2,0),"")</f>
        <v>400X8400mm</v>
      </c>
      <c r="D268" s="71">
        <f>SUMIF(ENTRADAS!B:B,B268,ENTRADAS!D:D)</f>
        <v>0</v>
      </c>
      <c r="E268" s="71">
        <f>SUMIF(SALIDAS!B:B,B268,SALIDAS!D:D)</f>
        <v>0</v>
      </c>
      <c r="F268" s="89">
        <f t="shared" si="1"/>
        <v>0</v>
      </c>
      <c r="G268" s="90"/>
      <c r="H268" s="90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</row>
    <row r="269">
      <c r="A269" s="79"/>
      <c r="B269" s="88" t="s">
        <v>671</v>
      </c>
      <c r="C269" s="71" t="str">
        <f>IFERROR(VLOOKUP(B269 ,INVENTARIO!B283:C1000,2,0),"")</f>
        <v>800X8050mm</v>
      </c>
      <c r="D269" s="71">
        <f>SUMIF(ENTRADAS!B:B,B269,ENTRADAS!D:D)</f>
        <v>1</v>
      </c>
      <c r="E269" s="71">
        <f>SUMIF(SALIDAS!B:B,B269,SALIDAS!D:D)</f>
        <v>0</v>
      </c>
      <c r="F269" s="89">
        <f t="shared" si="1"/>
        <v>1</v>
      </c>
      <c r="G269" s="90"/>
      <c r="H269" s="90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</row>
    <row r="270">
      <c r="A270" s="79"/>
      <c r="B270" s="88" t="s">
        <v>674</v>
      </c>
      <c r="C270" s="71" t="str">
        <f>IFERROR(VLOOKUP(B270 ,INVENTARIO!B284:C1000,2,0),"")</f>
        <v>340X2460mm</v>
      </c>
      <c r="D270" s="71">
        <f>SUMIF(ENTRADAS!B:B,B270,ENTRADAS!D:D)</f>
        <v>0</v>
      </c>
      <c r="E270" s="71">
        <f>SUMIF(SALIDAS!B:B,B270,SALIDAS!D:D)</f>
        <v>0</v>
      </c>
      <c r="F270" s="89">
        <f t="shared" si="1"/>
        <v>0</v>
      </c>
      <c r="G270" s="90"/>
      <c r="H270" s="90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</row>
    <row r="271">
      <c r="A271" s="79"/>
      <c r="B271" s="88" t="s">
        <v>677</v>
      </c>
      <c r="C271" s="71" t="str">
        <f>IFERROR(VLOOKUP(B271 ,INVENTARIO!B285:C1000,2,0),"")</f>
        <v>340X850mm x2</v>
      </c>
      <c r="D271" s="71">
        <f>SUMIF(ENTRADAS!B:B,B271,ENTRADAS!D:D)</f>
        <v>0</v>
      </c>
      <c r="E271" s="71">
        <f>SUMIF(SALIDAS!B:B,B271,SALIDAS!D:D)</f>
        <v>0</v>
      </c>
      <c r="F271" s="89">
        <f t="shared" si="1"/>
        <v>0</v>
      </c>
      <c r="G271" s="90"/>
      <c r="H271" s="90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</row>
    <row r="272">
      <c r="A272" s="79"/>
      <c r="B272" s="88" t="s">
        <v>680</v>
      </c>
      <c r="C272" s="71" t="str">
        <f>IFERROR(VLOOKUP(B272 ,INVENTARIO!B286:C1000,2,0),"")</f>
        <v>890X1700mm</v>
      </c>
      <c r="D272" s="71">
        <f>SUMIF(ENTRADAS!B:B,B272,ENTRADAS!D:D)</f>
        <v>1</v>
      </c>
      <c r="E272" s="71">
        <f>SUMIF(SALIDAS!B:B,B272,SALIDAS!D:D)</f>
        <v>0</v>
      </c>
      <c r="F272" s="89">
        <f t="shared" si="1"/>
        <v>1</v>
      </c>
      <c r="G272" s="90"/>
      <c r="H272" s="90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</row>
    <row r="273">
      <c r="A273" s="79"/>
      <c r="B273" s="88" t="s">
        <v>683</v>
      </c>
      <c r="C273" s="71" t="str">
        <f>IFERROR(VLOOKUP(B273 ,INVENTARIO!B288:C1000,2,0),"")</f>
        <v>520X670mm</v>
      </c>
      <c r="D273" s="71">
        <f>SUMIF(ENTRADAS!B:B,B273,ENTRADAS!D:D)</f>
        <v>1</v>
      </c>
      <c r="E273" s="71">
        <f>SUMIF(SALIDAS!B:B,B273,SALIDAS!D:D)</f>
        <v>0</v>
      </c>
      <c r="F273" s="89">
        <f t="shared" si="1"/>
        <v>1</v>
      </c>
      <c r="G273" s="90"/>
      <c r="H273" s="90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</row>
    <row r="274">
      <c r="A274" s="79"/>
      <c r="B274" s="88" t="s">
        <v>686</v>
      </c>
      <c r="C274" s="71" t="str">
        <f>IFERROR(VLOOKUP(B274 ,INVENTARIO!B288:C1000,2,0),"")</f>
        <v>770X3580mm</v>
      </c>
      <c r="D274" s="71">
        <f>SUMIF(ENTRADAS!B:B,B274,ENTRADAS!D:D)</f>
        <v>1</v>
      </c>
      <c r="E274" s="71">
        <f>SUMIF(SALIDAS!B:B,B274,SALIDAS!D:D)</f>
        <v>0</v>
      </c>
      <c r="F274" s="89">
        <f t="shared" si="1"/>
        <v>1</v>
      </c>
      <c r="G274" s="90"/>
      <c r="H274" s="90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</row>
    <row r="275">
      <c r="A275" s="79"/>
      <c r="B275" s="88" t="s">
        <v>695</v>
      </c>
      <c r="C275" s="71" t="str">
        <f>IFERROR(VLOOKUP(B275 ,INVENTARIO!B290:C1000,2,0),"")</f>
        <v>1000X250mm</v>
      </c>
      <c r="D275" s="71">
        <f>SUMIF(ENTRADAS!B:B,B275,ENTRADAS!D:D)</f>
        <v>0</v>
      </c>
      <c r="E275" s="71">
        <f>SUMIF(SALIDAS!B:B,B275,SALIDAS!D:D)</f>
        <v>0</v>
      </c>
      <c r="F275" s="89">
        <f t="shared" si="1"/>
        <v>0</v>
      </c>
      <c r="G275" s="90"/>
      <c r="H275" s="90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</row>
    <row r="276">
      <c r="A276" s="79"/>
      <c r="B276" s="88" t="s">
        <v>698</v>
      </c>
      <c r="C276" s="71" t="str">
        <f>IFERROR(VLOOKUP(B276 ,INVENTARIO!B291:C1000,2,0),"")</f>
        <v>1090X180mm</v>
      </c>
      <c r="D276" s="71">
        <f>SUMIF(ENTRADAS!B:B,B276,ENTRADAS!D:D)</f>
        <v>0</v>
      </c>
      <c r="E276" s="71">
        <f>SUMIF(SALIDAS!B:B,B276,SALIDAS!D:D)</f>
        <v>0</v>
      </c>
      <c r="F276" s="89">
        <f t="shared" si="1"/>
        <v>0</v>
      </c>
      <c r="G276" s="90"/>
      <c r="H276" s="90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</row>
    <row r="277">
      <c r="A277" s="79"/>
      <c r="B277" s="88" t="s">
        <v>704</v>
      </c>
      <c r="C277" s="71" t="str">
        <f>IFERROR(VLOOKUP(B277 ,INVENTARIO!B292:C1000,2,0),"")</f>
        <v>Banda para desmoldador perforada, falta relevamiento de medidasssss</v>
      </c>
      <c r="D277" s="71">
        <f>SUMIF(ENTRADAS!B:B,B277,ENTRADAS!D:D)</f>
        <v>0</v>
      </c>
      <c r="E277" s="71">
        <f>SUMIF(SALIDAS!B:B,B277,SALIDAS!D:D)</f>
        <v>0</v>
      </c>
      <c r="F277" s="89">
        <f t="shared" si="1"/>
        <v>0</v>
      </c>
      <c r="G277" s="90"/>
      <c r="H277" s="90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>
      <c r="A278" s="79"/>
      <c r="B278" s="88" t="s">
        <v>707</v>
      </c>
      <c r="C278" s="71" t="str">
        <f>IFERROR(VLOOKUP(B278 ,INVENTARIO!B293:C1000,2,0),"")</f>
        <v>400X4000MM</v>
      </c>
      <c r="D278" s="71">
        <f>SUMIF(ENTRADAS!B:B,B278,ENTRADAS!D:D)</f>
        <v>2</v>
      </c>
      <c r="E278" s="71">
        <f>SUMIF(SALIDAS!B:B,B278,SALIDAS!D:D)</f>
        <v>0</v>
      </c>
      <c r="F278" s="89">
        <f t="shared" si="1"/>
        <v>2</v>
      </c>
      <c r="G278" s="90"/>
      <c r="H278" s="90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</row>
    <row r="279">
      <c r="A279" s="79"/>
      <c r="B279" s="88" t="s">
        <v>1898</v>
      </c>
      <c r="C279" s="71" t="str">
        <f>IFERROR(VLOOKUP(B279 ,INVENTARIO!B294:C1000,2,0),"")</f>
        <v/>
      </c>
      <c r="D279" s="71">
        <f>SUMIF(ENTRADAS!B:B,B279,ENTRADAS!D:D)</f>
        <v>1</v>
      </c>
      <c r="E279" s="71">
        <f>SUMIF(SALIDAS!B:B,B279,SALIDAS!D:D)</f>
        <v>0</v>
      </c>
      <c r="F279" s="89">
        <f t="shared" si="1"/>
        <v>1</v>
      </c>
      <c r="G279" s="90"/>
      <c r="H279" s="90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</row>
    <row r="280">
      <c r="A280" s="79"/>
      <c r="B280" s="88" t="s">
        <v>714</v>
      </c>
      <c r="C280" s="71" t="str">
        <f>IFERROR(VLOOKUP(B280 ,INVENTARIO!B295:C1000,2,0),"")</f>
        <v>50-PPVA-N3</v>
      </c>
      <c r="D280" s="71">
        <f>SUMIF(ENTRADAS!B:B,B280,ENTRADAS!D:D)</f>
        <v>1</v>
      </c>
      <c r="E280" s="71">
        <f>SUMIF(SALIDAS!B:B,B280,SALIDAS!D:D)</f>
        <v>0</v>
      </c>
      <c r="F280" s="89">
        <f t="shared" si="1"/>
        <v>1</v>
      </c>
      <c r="G280" s="90"/>
      <c r="H280" s="90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</row>
    <row r="281">
      <c r="A281" s="79"/>
      <c r="B281" s="88" t="s">
        <v>717</v>
      </c>
      <c r="C281" s="71" t="str">
        <f>IFERROR(VLOOKUP(B281 ,INVENTARIO!B296:C1000,2,0),"")</f>
        <v>SNCB-32</v>
      </c>
      <c r="D281" s="71">
        <f>SUMIF(ENTRADAS!B:B,B281,ENTRADAS!D:D)</f>
        <v>1</v>
      </c>
      <c r="E281" s="71">
        <f>SUMIF(SALIDAS!B:B,B281,SALIDAS!D:D)</f>
        <v>0</v>
      </c>
      <c r="F281" s="89">
        <f t="shared" si="1"/>
        <v>1</v>
      </c>
      <c r="G281" s="90"/>
      <c r="H281" s="90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</row>
    <row r="282">
      <c r="A282" s="79"/>
      <c r="B282" s="88" t="s">
        <v>718</v>
      </c>
      <c r="C282" s="71" t="str">
        <f>IFERROR(VLOOKUP(B282 ,INVENTARIO!B297:C1000,2,0),"")</f>
        <v>SG-M10x1,25</v>
      </c>
      <c r="D282" s="71">
        <f>SUMIF(ENTRADAS!B:B,B282,ENTRADAS!D:D)</f>
        <v>4</v>
      </c>
      <c r="E282" s="71">
        <f>SUMIF(SALIDAS!B:B,B282,SALIDAS!D:D)</f>
        <v>0</v>
      </c>
      <c r="F282" s="89">
        <f t="shared" si="1"/>
        <v>4</v>
      </c>
      <c r="G282" s="90"/>
      <c r="H282" s="90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</row>
    <row r="283">
      <c r="A283" s="79"/>
      <c r="B283" s="88" t="s">
        <v>719</v>
      </c>
      <c r="C283" s="71" t="str">
        <f>IFERROR(VLOOKUP(B283 ,INVENTARIO!B298:C1000,2,0),"")</f>
        <v>Kit de reparacion</v>
      </c>
      <c r="D283" s="71">
        <f>SUMIF(ENTRADAS!B:B,B283,ENTRADAS!D:D)</f>
        <v>2</v>
      </c>
      <c r="E283" s="71">
        <f>SUMIF(SALIDAS!B:B,B283,SALIDAS!D:D)</f>
        <v>0</v>
      </c>
      <c r="F283" s="89">
        <f t="shared" si="1"/>
        <v>2</v>
      </c>
      <c r="G283" s="90"/>
      <c r="H283" s="90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</row>
    <row r="284">
      <c r="A284" s="79"/>
      <c r="B284" s="88" t="s">
        <v>722</v>
      </c>
      <c r="C284" s="71" t="str">
        <f>IFERROR(VLOOKUP(B284 ,INVENTARIO!B299:C1000,2,0),"")</f>
        <v>CP96SDB40-25C</v>
      </c>
      <c r="D284" s="71">
        <f>SUMIF(ENTRADAS!B:B,B284,ENTRADAS!D:D)</f>
        <v>1</v>
      </c>
      <c r="E284" s="71">
        <f>SUMIF(SALIDAS!B:B,B284,SALIDAS!D:D)</f>
        <v>0</v>
      </c>
      <c r="F284" s="89">
        <f t="shared" si="1"/>
        <v>1</v>
      </c>
      <c r="G284" s="90"/>
      <c r="H284" s="90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</row>
    <row r="285">
      <c r="A285" s="79"/>
      <c r="B285" s="88" t="s">
        <v>725</v>
      </c>
      <c r="C285" s="71" t="str">
        <f>IFERROR(VLOOKUP(B285 ,INVENTARIO!B299:C1000,2,0),"")</f>
        <v>piston</v>
      </c>
      <c r="D285" s="71">
        <f>SUMIF(ENTRADAS!B:B,B285,ENTRADAS!D:D)</f>
        <v>3</v>
      </c>
      <c r="E285" s="71">
        <f>SUMIF(SALIDAS!B:B,B285,SALIDAS!D:D)</f>
        <v>0</v>
      </c>
      <c r="F285" s="89">
        <f t="shared" si="1"/>
        <v>3</v>
      </c>
      <c r="G285" s="90"/>
      <c r="H285" s="90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</row>
    <row r="286">
      <c r="A286" s="79"/>
      <c r="B286" s="88" t="s">
        <v>728</v>
      </c>
      <c r="C286" s="71" t="str">
        <f>IFERROR(VLOOKUP(B286 ,INVENTARIO!B300:C1000,2,0),"")</f>
        <v>Discos- Alipak</v>
      </c>
      <c r="D286" s="71">
        <f>SUMIF(ENTRADAS!B:B,B286,ENTRADAS!D:D)</f>
        <v>0</v>
      </c>
      <c r="E286" s="71">
        <f>SUMIF(SALIDAS!B:B,B286,SALIDAS!D:D)</f>
        <v>0</v>
      </c>
      <c r="F286" s="89">
        <f t="shared" si="1"/>
        <v>0</v>
      </c>
      <c r="G286" s="90"/>
      <c r="H286" s="90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</row>
    <row r="287">
      <c r="A287" s="79"/>
      <c r="B287" s="88" t="s">
        <v>731</v>
      </c>
      <c r="C287" s="71" t="str">
        <f>IFERROR(VLOOKUP(B287 ,INVENTARIO!B301:C1000,2,0),"")</f>
        <v>Encausadores</v>
      </c>
      <c r="D287" s="71">
        <f>SUMIF(ENTRADAS!B:B,B287,ENTRADAS!D:D)</f>
        <v>4</v>
      </c>
      <c r="E287" s="71">
        <f>SUMIF(SALIDAS!B:B,B287,SALIDAS!D:D)</f>
        <v>0</v>
      </c>
      <c r="F287" s="89">
        <f t="shared" si="1"/>
        <v>4</v>
      </c>
      <c r="G287" s="90"/>
      <c r="H287" s="90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</row>
    <row r="288">
      <c r="A288" s="79"/>
      <c r="B288" s="88" t="s">
        <v>734</v>
      </c>
      <c r="C288" s="71" t="str">
        <f>IFERROR(VLOOKUP(B288 ,INVENTARIO!B302:C1000,2,0),"")</f>
        <v>estrella dentada</v>
      </c>
      <c r="D288" s="71">
        <f>SUMIF(ENTRADAS!B:B,B288,ENTRADAS!D:D)</f>
        <v>1</v>
      </c>
      <c r="E288" s="71">
        <f>SUMIF(SALIDAS!B:B,B288,SALIDAS!D:D)</f>
        <v>0</v>
      </c>
      <c r="F288" s="89">
        <f t="shared" si="1"/>
        <v>1</v>
      </c>
      <c r="G288" s="90"/>
      <c r="H288" s="90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</row>
    <row r="289">
      <c r="A289" s="79"/>
      <c r="B289" s="88" t="s">
        <v>737</v>
      </c>
      <c r="C289" s="71" t="str">
        <f>IFERROR(VLOOKUP(B289 ,INVENTARIO!B303:C1000,2,0),"")</f>
        <v>plasticos</v>
      </c>
      <c r="D289" s="71">
        <f>SUMIF(ENTRADAS!B:B,B289,ENTRADAS!D:D)</f>
        <v>12</v>
      </c>
      <c r="E289" s="71">
        <f>SUMIF(SALIDAS!B:B,B289,SALIDAS!D:D)</f>
        <v>0</v>
      </c>
      <c r="F289" s="89">
        <f t="shared" si="1"/>
        <v>12</v>
      </c>
      <c r="G289" s="90"/>
      <c r="H289" s="90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</row>
    <row r="290">
      <c r="A290" s="79"/>
      <c r="B290" s="88" t="s">
        <v>740</v>
      </c>
      <c r="C290" s="71" t="str">
        <f>IFERROR(VLOOKUP(B290 ,INVENTARIO!B304:C1000,2,0),"")</f>
        <v>paso 60-eje 20mm</v>
      </c>
      <c r="D290" s="71">
        <f>SUMIF(ENTRADAS!B:B,B290,ENTRADAS!D:D)</f>
        <v>4</v>
      </c>
      <c r="E290" s="71">
        <f>SUMIF(SALIDAS!B:B,B290,SALIDAS!D:D)</f>
        <v>0</v>
      </c>
      <c r="F290" s="89">
        <f t="shared" si="1"/>
        <v>4</v>
      </c>
      <c r="G290" s="90"/>
      <c r="H290" s="90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</row>
    <row r="291">
      <c r="A291" s="79"/>
      <c r="B291" s="88" t="s">
        <v>743</v>
      </c>
      <c r="C291" s="71" t="str">
        <f>IFERROR(VLOOKUP(B291 ,INVENTARIO!B305:C1000,2,0),"")</f>
        <v>40x100</v>
      </c>
      <c r="D291" s="71">
        <f>SUMIF(ENTRADAS!B:B,B291,ENTRADAS!D:D)</f>
        <v>38</v>
      </c>
      <c r="E291" s="71">
        <f>SUMIF(SALIDAS!B:B,B291,SALIDAS!D:D)</f>
        <v>0</v>
      </c>
      <c r="F291" s="89">
        <f t="shared" si="1"/>
        <v>38</v>
      </c>
      <c r="G291" s="90"/>
      <c r="H291" s="90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</row>
    <row r="292">
      <c r="A292" s="79"/>
      <c r="B292" s="88" t="s">
        <v>746</v>
      </c>
      <c r="C292" s="71" t="str">
        <f>IFERROR(VLOOKUP(B292 ,INVENTARIO!B306:C1000,2,0),"")</f>
        <v/>
      </c>
      <c r="D292" s="71">
        <f>SUMIF(ENTRADAS!B:B,B292,ENTRADAS!D:D)</f>
        <v>21</v>
      </c>
      <c r="E292" s="71">
        <f>SUMIF(SALIDAS!B:B,B292,SALIDAS!D:D)</f>
        <v>2</v>
      </c>
      <c r="F292" s="89">
        <f t="shared" si="1"/>
        <v>19</v>
      </c>
      <c r="G292" s="90"/>
      <c r="H292" s="90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</row>
    <row r="293">
      <c r="A293" s="79"/>
      <c r="B293" s="88" t="s">
        <v>748</v>
      </c>
      <c r="C293" s="71" t="str">
        <f>IFERROR(VLOOKUP(B293 ,INVENTARIO!B307:C1000,2,0),"")</f>
        <v/>
      </c>
      <c r="D293" s="71">
        <f>SUMIF(ENTRADAS!B:B,B293,ENTRADAS!D:D)</f>
        <v>15</v>
      </c>
      <c r="E293" s="71">
        <f>SUMIF(SALIDAS!B:B,B293,SALIDAS!D:D)</f>
        <v>0</v>
      </c>
      <c r="F293" s="89">
        <f t="shared" si="1"/>
        <v>15</v>
      </c>
      <c r="G293" s="90"/>
      <c r="H293" s="90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4">
      <c r="A294" s="79"/>
      <c r="B294" s="88" t="s">
        <v>750</v>
      </c>
      <c r="C294" s="71" t="str">
        <f>IFERROR(VLOOKUP(B294 ,INVENTARIO!B308:C1000,2,0),"")</f>
        <v/>
      </c>
      <c r="D294" s="71">
        <f>SUMIF(ENTRADAS!B:B,B294,ENTRADAS!D:D)</f>
        <v>26</v>
      </c>
      <c r="E294" s="71">
        <f>SUMIF(SALIDAS!B:B,B294,SALIDAS!D:D)</f>
        <v>1</v>
      </c>
      <c r="F294" s="89">
        <f t="shared" si="1"/>
        <v>25</v>
      </c>
      <c r="G294" s="90"/>
      <c r="H294" s="90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</row>
    <row r="295">
      <c r="A295" s="79"/>
      <c r="B295" s="88" t="s">
        <v>751</v>
      </c>
      <c r="C295" s="71" t="str">
        <f>IFERROR(VLOOKUP(B295 ,INVENTARIO!B309:C1000,2,0),"")</f>
        <v>manguera alta pre-</v>
      </c>
      <c r="D295" s="71">
        <f>SUMIF(ENTRADAS!B:B,B295,ENTRADAS!D:D)</f>
        <v>1</v>
      </c>
      <c r="E295" s="71">
        <f>SUMIF(SALIDAS!B:B,B295,SALIDAS!D:D)</f>
        <v>0</v>
      </c>
      <c r="F295" s="89">
        <f t="shared" si="1"/>
        <v>1</v>
      </c>
      <c r="G295" s="90"/>
      <c r="H295" s="90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</row>
    <row r="296">
      <c r="A296" s="79"/>
      <c r="B296" s="88" t="s">
        <v>754</v>
      </c>
      <c r="C296" s="71" t="str">
        <f>IFERROR(VLOOKUP(B296 ,INVENTARIO!B309:C1000,2,0),"")</f>
        <v>soporte para sensor</v>
      </c>
      <c r="D296" s="71">
        <f>SUMIF(ENTRADAS!B:B,B296,ENTRADAS!D:D)</f>
        <v>5</v>
      </c>
      <c r="E296" s="71">
        <f>SUMIF(SALIDAS!B:B,B296,SALIDAS!D:D)</f>
        <v>0</v>
      </c>
      <c r="F296" s="89">
        <f t="shared" si="1"/>
        <v>5</v>
      </c>
      <c r="G296" s="90"/>
      <c r="H296" s="90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</row>
    <row r="297">
      <c r="A297" s="79"/>
      <c r="B297" s="88" t="s">
        <v>766</v>
      </c>
      <c r="C297" s="71" t="str">
        <f>IFERROR(VLOOKUP(B297 ,INVENTARIO!B310:C1000,2,0),"")</f>
        <v>recto</v>
      </c>
      <c r="D297" s="71">
        <f>SUMIF(ENTRADAS!B:B,B297,ENTRADAS!D:D)</f>
        <v>1</v>
      </c>
      <c r="E297" s="71">
        <f>SUMIF(SALIDAS!B:B,B297,SALIDAS!D:D)</f>
        <v>0</v>
      </c>
      <c r="F297" s="89">
        <f t="shared" si="1"/>
        <v>1</v>
      </c>
      <c r="G297" s="90"/>
      <c r="H297" s="90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</row>
    <row r="298">
      <c r="A298" s="79"/>
      <c r="B298" s="88" t="s">
        <v>768</v>
      </c>
      <c r="C298" s="71" t="str">
        <f>IFERROR(VLOOKUP(B298 ,INVENTARIO!B311:C1000,2,0),"")</f>
        <v>recto</v>
      </c>
      <c r="D298" s="71">
        <f>SUMIF(ENTRADAS!B:B,B298,ENTRADAS!D:D)</f>
        <v>6</v>
      </c>
      <c r="E298" s="71">
        <f>SUMIF(SALIDAS!B:B,B298,SALIDAS!D:D)</f>
        <v>0</v>
      </c>
      <c r="F298" s="89">
        <f t="shared" si="1"/>
        <v>6</v>
      </c>
      <c r="G298" s="90"/>
      <c r="H298" s="90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</row>
    <row r="299">
      <c r="A299" s="79"/>
      <c r="B299" s="88" t="s">
        <v>769</v>
      </c>
      <c r="C299" s="71" t="str">
        <f>IFERROR(VLOOKUP(B299 ,INVENTARIO!B313:C1000,2,0),"")</f>
        <v>codos</v>
      </c>
      <c r="D299" s="71">
        <f>SUMIF(ENTRADAS!B:B,B299,ENTRADAS!D:D)</f>
        <v>4</v>
      </c>
      <c r="E299" s="71">
        <f>SUMIF(SALIDAS!B:B,B299,SALIDAS!D:D)</f>
        <v>0</v>
      </c>
      <c r="F299" s="89">
        <f t="shared" si="1"/>
        <v>4</v>
      </c>
      <c r="G299" s="90"/>
      <c r="H299" s="90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</row>
    <row r="300">
      <c r="A300" s="79"/>
      <c r="B300" s="88" t="s">
        <v>770</v>
      </c>
      <c r="C300" s="71" t="str">
        <f>IFERROR(VLOOKUP(B300 ,INVENTARIO!B314:C1000,2,0),"")</f>
        <v>codo con regulador</v>
      </c>
      <c r="D300" s="71">
        <f>SUMIF(ENTRADAS!B:B,B300,ENTRADAS!D:D)</f>
        <v>9</v>
      </c>
      <c r="E300" s="71">
        <f>SUMIF(SALIDAS!B:B,B300,SALIDAS!D:D)</f>
        <v>0</v>
      </c>
      <c r="F300" s="89">
        <f t="shared" si="1"/>
        <v>9</v>
      </c>
      <c r="G300" s="90"/>
      <c r="H300" s="90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</row>
    <row r="301">
      <c r="A301" s="79"/>
      <c r="B301" s="88" t="s">
        <v>772</v>
      </c>
      <c r="C301" s="71" t="str">
        <f>IFERROR(VLOOKUP(B301 ,INVENTARIO!B315:C1000,2,0),"")</f>
        <v>Aerosol rojo de alta temperatura</v>
      </c>
      <c r="D301" s="71">
        <f>SUMIF(ENTRADAS!B:B,B301,ENTRADAS!D:D)</f>
        <v>0</v>
      </c>
      <c r="E301" s="71">
        <f>SUMIF(SALIDAS!B:B,B301,SALIDAS!D:D)</f>
        <v>0</v>
      </c>
      <c r="F301" s="89">
        <f t="shared" si="1"/>
        <v>0</v>
      </c>
      <c r="G301" s="90"/>
      <c r="H301" s="90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</row>
    <row r="302">
      <c r="A302" s="79"/>
      <c r="B302" s="88" t="s">
        <v>774</v>
      </c>
      <c r="C302" s="71" t="str">
        <f>IFERROR(VLOOKUP(B302 ,INVENTARIO!B316:C1000,2,0),"")</f>
        <v>Aerosol verde de alta temperatura</v>
      </c>
      <c r="D302" s="71">
        <f>SUMIF(ENTRADAS!B:B,B302,ENTRADAS!D:D)</f>
        <v>0</v>
      </c>
      <c r="E302" s="71">
        <f>SUMIF(SALIDAS!B:B,B302,SALIDAS!D:D)</f>
        <v>0</v>
      </c>
      <c r="F302" s="89">
        <f t="shared" si="1"/>
        <v>0</v>
      </c>
      <c r="G302" s="90"/>
      <c r="H302" s="90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</row>
    <row r="303">
      <c r="A303" s="79"/>
      <c r="B303" s="88" t="s">
        <v>776</v>
      </c>
      <c r="C303" s="71" t="str">
        <f>IFERROR(VLOOKUP(B303 ,INVENTARIO!B316:C1000,2,0),"")</f>
        <v>Aerosol aluminio de alta temperatura</v>
      </c>
      <c r="D303" s="71">
        <f>SUMIF(ENTRADAS!B:B,B303,ENTRADAS!D:D)</f>
        <v>1</v>
      </c>
      <c r="E303" s="71">
        <f>SUMIF(SALIDAS!B:B,B303,SALIDAS!D:D)</f>
        <v>0</v>
      </c>
      <c r="F303" s="89">
        <f t="shared" si="1"/>
        <v>1</v>
      </c>
      <c r="G303" s="90"/>
      <c r="H303" s="90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</row>
    <row r="304">
      <c r="A304" s="79"/>
      <c r="B304" s="88" t="s">
        <v>778</v>
      </c>
      <c r="C304" s="71" t="str">
        <f>IFERROR(VLOOKUP(B304 ,INVENTARIO!B317:C1000,2,0),"")</f>
        <v>Aerosol blanco común, secado rápido</v>
      </c>
      <c r="D304" s="71">
        <f>SUMIF(ENTRADAS!B:B,B304,ENTRADAS!D:D)</f>
        <v>1</v>
      </c>
      <c r="E304" s="71">
        <f>SUMIF(SALIDAS!B:B,B304,SALIDAS!D:D)</f>
        <v>0</v>
      </c>
      <c r="F304" s="89">
        <f t="shared" si="1"/>
        <v>1</v>
      </c>
      <c r="G304" s="90"/>
      <c r="H304" s="90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</row>
    <row r="305">
      <c r="A305" s="79"/>
      <c r="B305" s="88" t="s">
        <v>780</v>
      </c>
      <c r="C305" s="71" t="str">
        <f>IFERROR(VLOOKUP(B305 ,INVENTARIO!B317:C1000,2,0),"")</f>
        <v>Aerosol negro común</v>
      </c>
      <c r="D305" s="71">
        <f>SUMIF(ENTRADAS!B:B,B305,ENTRADAS!D:D)</f>
        <v>2</v>
      </c>
      <c r="E305" s="71">
        <f>SUMIF(SALIDAS!B:B,B305,SALIDAS!D:D)</f>
        <v>0</v>
      </c>
      <c r="F305" s="89">
        <f t="shared" si="1"/>
        <v>2</v>
      </c>
      <c r="G305" s="90"/>
      <c r="H305" s="90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</row>
    <row r="306">
      <c r="A306" s="79"/>
      <c r="B306" s="88" t="s">
        <v>782</v>
      </c>
      <c r="C306" s="71" t="str">
        <f>IFERROR(VLOOKUP(B306 ,INVENTARIO!B317:C1000,2,0),"")</f>
        <v>Aerosol negro alta temp-</v>
      </c>
      <c r="D306" s="71">
        <f>SUMIF(ENTRADAS!B:B,B306,ENTRADAS!D:D)</f>
        <v>1</v>
      </c>
      <c r="E306" s="71">
        <f>SUMIF(SALIDAS!B:B,B306,SALIDAS!D:D)</f>
        <v>0</v>
      </c>
      <c r="F306" s="89">
        <f t="shared" si="1"/>
        <v>1</v>
      </c>
      <c r="G306" s="90"/>
      <c r="H306" s="90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</row>
    <row r="307">
      <c r="A307" s="79"/>
      <c r="B307" s="88" t="s">
        <v>784</v>
      </c>
      <c r="C307" s="71" t="str">
        <f>IFERROR(VLOOKUP(B307 ,INVENTARIO!B318:C1000,2,0),"")</f>
        <v>maza de 1.5 kl</v>
      </c>
      <c r="D307" s="71">
        <f>SUMIF(ENTRADAS!B:B,B307,ENTRADAS!D:D)</f>
        <v>1</v>
      </c>
      <c r="E307" s="71">
        <f>SUMIF(SALIDAS!B:B,B307,SALIDAS!D:D)</f>
        <v>0</v>
      </c>
      <c r="F307" s="89">
        <f t="shared" si="1"/>
        <v>1</v>
      </c>
      <c r="G307" s="90"/>
      <c r="H307" s="90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</row>
    <row r="308">
      <c r="A308" s="79"/>
      <c r="B308" s="88" t="s">
        <v>786</v>
      </c>
      <c r="C308" s="71" t="str">
        <f>IFERROR(VLOOKUP(B308 ,INVENTARIO!B319:C1000,2,0),"")</f>
        <v>Agujereadora eléctrica 13mm</v>
      </c>
      <c r="D308" s="71">
        <f>SUMIF(ENTRADAS!B:B,B308,ENTRADAS!D:D)</f>
        <v>1</v>
      </c>
      <c r="E308" s="71">
        <f>SUMIF(SALIDAS!B:B,B308,SALIDAS!D:D)</f>
        <v>0</v>
      </c>
      <c r="F308" s="89">
        <f t="shared" si="1"/>
        <v>1</v>
      </c>
      <c r="G308" s="90"/>
      <c r="H308" s="90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</row>
    <row r="309">
      <c r="A309" s="79"/>
      <c r="B309" s="88" t="s">
        <v>788</v>
      </c>
      <c r="C309" s="71" t="str">
        <f>IFERROR(VLOOKUP(B309 ,INVENTARIO!B320:C1000,2,0),"")</f>
        <v>Agujereadora a batería 13mm</v>
      </c>
      <c r="D309" s="71">
        <f>SUMIF(ENTRADAS!B:B,B309,ENTRADAS!D:D)</f>
        <v>0</v>
      </c>
      <c r="E309" s="71">
        <f>SUMIF(SALIDAS!B:B,B309,SALIDAS!D:D)</f>
        <v>0</v>
      </c>
      <c r="F309" s="89">
        <f t="shared" si="1"/>
        <v>0</v>
      </c>
      <c r="G309" s="90"/>
      <c r="H309" s="90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</row>
    <row r="310">
      <c r="A310" s="79"/>
      <c r="B310" s="88" t="s">
        <v>790</v>
      </c>
      <c r="C310" s="71" t="str">
        <f>IFERROR(VLOOKUP(B310 ,INVENTARIO!B321:C1000,2,0),"")</f>
        <v>Amoladora a batería 115mm</v>
      </c>
      <c r="D310" s="71">
        <f>SUMIF(ENTRADAS!B:B,B310,ENTRADAS!D:D)</f>
        <v>0</v>
      </c>
      <c r="E310" s="71">
        <f>SUMIF(SALIDAS!B:B,B310,SALIDAS!D:D)</f>
        <v>0</v>
      </c>
      <c r="F310" s="89">
        <f t="shared" si="1"/>
        <v>0</v>
      </c>
      <c r="G310" s="90"/>
      <c r="H310" s="90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</row>
    <row r="311">
      <c r="A311" s="79"/>
      <c r="B311" s="88" t="s">
        <v>792</v>
      </c>
      <c r="C311" s="71" t="str">
        <f>IFERROR(VLOOKUP(B311 ,INVENTARIO!B322:C1000,2,0),"")</f>
        <v>Llave fija boca, estriada 11mm</v>
      </c>
      <c r="D311" s="71">
        <f>SUMIF(ENTRADAS!B:B,B311,ENTRADAS!D:D)</f>
        <v>1</v>
      </c>
      <c r="E311" s="71">
        <f>SUMIF(SALIDAS!B:B,B311,SALIDAS!D:D)</f>
        <v>0</v>
      </c>
      <c r="F311" s="89">
        <f t="shared" si="1"/>
        <v>1</v>
      </c>
      <c r="G311" s="90"/>
      <c r="H311" s="90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</row>
    <row r="312">
      <c r="A312" s="79"/>
      <c r="B312" s="88" t="s">
        <v>794</v>
      </c>
      <c r="C312" s="71" t="str">
        <f>IFERROR(VLOOKUP(B312 ,INVENTARIO!B323:C1000,2,0),"")</f>
        <v>Llave fija boca, estriada 10mm</v>
      </c>
      <c r="D312" s="71">
        <f>SUMIF(ENTRADAS!B:B,B312,ENTRADAS!D:D)</f>
        <v>1</v>
      </c>
      <c r="E312" s="71">
        <f>SUMIF(SALIDAS!B:B,B312,SALIDAS!D:D)</f>
        <v>0</v>
      </c>
      <c r="F312" s="89">
        <f t="shared" si="1"/>
        <v>1</v>
      </c>
      <c r="G312" s="90"/>
      <c r="H312" s="90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</row>
    <row r="313">
      <c r="A313" s="79"/>
      <c r="B313" s="88" t="s">
        <v>796</v>
      </c>
      <c r="C313" s="71" t="str">
        <f>IFERROR(VLOOKUP(B313 ,INVENTARIO!B324:C1000,2,0),"")</f>
        <v>Llave regulable de 4" (francesa)</v>
      </c>
      <c r="D313" s="71">
        <f>SUMIF(ENTRADAS!B:B,B313,ENTRADAS!D:D)</f>
        <v>1</v>
      </c>
      <c r="E313" s="71">
        <f>SUMIF(SALIDAS!B:B,B313,SALIDAS!D:D)</f>
        <v>0</v>
      </c>
      <c r="F313" s="89">
        <f t="shared" si="1"/>
        <v>1</v>
      </c>
      <c r="G313" s="90"/>
      <c r="H313" s="90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</row>
    <row r="314">
      <c r="A314" s="79"/>
      <c r="B314" s="88" t="s">
        <v>798</v>
      </c>
      <c r="C314" s="71" t="str">
        <f>IFERROR(VLOOKUP(B314 ,INVENTARIO!B325:C1000,2,0),"")</f>
        <v>Llaves tipo torx largas juego de 10 piezas</v>
      </c>
      <c r="D314" s="71">
        <f>SUMIF(ENTRADAS!B:B,B314,ENTRADAS!D:D)</f>
        <v>1</v>
      </c>
      <c r="E314" s="71">
        <f>SUMIF(SALIDAS!B:B,B314,SALIDAS!D:D)</f>
        <v>0</v>
      </c>
      <c r="F314" s="89">
        <f t="shared" si="1"/>
        <v>1</v>
      </c>
      <c r="G314" s="90"/>
      <c r="H314" s="90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5">
      <c r="A315" s="79"/>
      <c r="B315" s="88" t="s">
        <v>800</v>
      </c>
      <c r="C315" s="71" t="str">
        <f>IFERROR(VLOOKUP(B315 ,INVENTARIO!B326:C1000,2,0),"")</f>
        <v>Multímetro digital proskit mt1232</v>
      </c>
      <c r="D315" s="71">
        <f>SUMIF(ENTRADAS!B:B,B315,ENTRADAS!D:D)</f>
        <v>1</v>
      </c>
      <c r="E315" s="71">
        <f>SUMIF(SALIDAS!B:B,B315,SALIDAS!D:D)</f>
        <v>0</v>
      </c>
      <c r="F315" s="89">
        <f t="shared" si="1"/>
        <v>1</v>
      </c>
      <c r="G315" s="90"/>
      <c r="H315" s="90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</row>
    <row r="316">
      <c r="A316" s="79"/>
      <c r="B316" s="88" t="s">
        <v>803</v>
      </c>
      <c r="C316" s="71" t="str">
        <f>IFERROR(VLOOKUP(B316 ,INVENTARIO!B327:C1000,2,0),"")</f>
        <v>Pinza amperométrica clamp</v>
      </c>
      <c r="D316" s="71">
        <f>SUMIF(ENTRADAS!B:B,B316,ENTRADAS!D:D)</f>
        <v>1</v>
      </c>
      <c r="E316" s="71">
        <f>SUMIF(SALIDAS!B:B,B316,SALIDAS!D:D)</f>
        <v>0</v>
      </c>
      <c r="F316" s="89">
        <f t="shared" si="1"/>
        <v>1</v>
      </c>
      <c r="G316" s="90"/>
      <c r="H316" s="90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</row>
    <row r="317">
      <c r="A317" s="79"/>
      <c r="B317" s="88" t="s">
        <v>805</v>
      </c>
      <c r="C317" s="71" t="str">
        <f>IFERROR(VLOOKUP(B317 ,INVENTARIO!B328:C1000,2,0),"")</f>
        <v>Pinza universal bahco 180mm 2678g</v>
      </c>
      <c r="D317" s="71">
        <f>SUMIF(ENTRADAS!B:B,B317,ENTRADAS!D:D)</f>
        <v>1</v>
      </c>
      <c r="E317" s="71">
        <f>SUMIF(SALIDAS!B:B,B317,SALIDAS!D:D)</f>
        <v>0</v>
      </c>
      <c r="F317" s="89">
        <f t="shared" si="1"/>
        <v>1</v>
      </c>
      <c r="G317" s="90"/>
      <c r="H317" s="90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</row>
    <row r="318">
      <c r="A318" s="79"/>
      <c r="B318" s="88" t="s">
        <v>807</v>
      </c>
      <c r="C318" s="71" t="str">
        <f>IFERROR(VLOOKUP(B318 ,INVENTARIO!B329:C1000,2,0),"")</f>
        <v>Pinza de punta media caña 160mm 2470g</v>
      </c>
      <c r="D318" s="71">
        <f>SUMIF(ENTRADAS!B:B,B318,ENTRADAS!D:D)</f>
        <v>2</v>
      </c>
      <c r="E318" s="71">
        <f>SUMIF(SALIDAS!B:B,B318,SALIDAS!D:D)</f>
        <v>0</v>
      </c>
      <c r="F318" s="89">
        <f t="shared" si="1"/>
        <v>2</v>
      </c>
      <c r="G318" s="90"/>
      <c r="H318" s="90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</row>
    <row r="319">
      <c r="A319" s="79"/>
      <c r="B319" s="88" t="s">
        <v>809</v>
      </c>
      <c r="C319" s="71" t="str">
        <f>IFERROR(VLOOKUP(B319 ,INVENTARIO!B330:C1000,2,0),"")</f>
        <v>Alicarte corte oblicuo 160mm</v>
      </c>
      <c r="D319" s="71">
        <f>SUMIF(ENTRADAS!B:B,B319,ENTRADAS!D:D)</f>
        <v>2</v>
      </c>
      <c r="E319" s="71">
        <f>SUMIF(SALIDAS!B:B,B319,SALIDAS!D:D)</f>
        <v>0</v>
      </c>
      <c r="F319" s="89">
        <f t="shared" si="1"/>
        <v>2</v>
      </c>
      <c r="G319" s="90"/>
      <c r="H319" s="90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</row>
    <row r="320">
      <c r="A320" s="79"/>
      <c r="B320" s="88" t="s">
        <v>811</v>
      </c>
      <c r="C320" s="71" t="str">
        <f>IFERROR(VLOOKUP(B320 ,INVENTARIO!B331:C1000,2,0),"")</f>
        <v>Manija porta macho de 3 a 12mm</v>
      </c>
      <c r="D320" s="71">
        <f>SUMIF(ENTRADAS!B:B,B320,ENTRADAS!D:D)</f>
        <v>1</v>
      </c>
      <c r="E320" s="71">
        <f>SUMIF(SALIDAS!B:B,B320,SALIDAS!D:D)</f>
        <v>0</v>
      </c>
      <c r="F320" s="89">
        <f t="shared" si="1"/>
        <v>1</v>
      </c>
      <c r="G320" s="90"/>
      <c r="H320" s="90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</row>
    <row r="321">
      <c r="A321" s="79"/>
      <c r="B321" s="88" t="s">
        <v>813</v>
      </c>
      <c r="C321" s="71" t="str">
        <f>IFERROR(VLOOKUP(B321 ,INVENTARIO!B332:C1000,2,0),"")</f>
        <v>Amoladora de 115mm</v>
      </c>
      <c r="D321" s="71">
        <f>SUMIF(ENTRADAS!B:B,B321,ENTRADAS!D:D)</f>
        <v>1</v>
      </c>
      <c r="E321" s="71">
        <f>SUMIF(SALIDAS!B:B,B321,SALIDAS!D:D)</f>
        <v>0</v>
      </c>
      <c r="F321" s="89">
        <f t="shared" si="1"/>
        <v>1</v>
      </c>
      <c r="G321" s="90"/>
      <c r="H321" s="90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</row>
    <row r="322">
      <c r="A322" s="79"/>
      <c r="B322" s="88" t="s">
        <v>815</v>
      </c>
      <c r="C322" s="71" t="str">
        <f>IFERROR(VLOOKUP(B322 ,INVENTARIO!B335:C1000,2,0),"")</f>
        <v>Destornillador X6 Para Golpe Bahco</v>
      </c>
      <c r="D322" s="71">
        <f>SUMIF(ENTRADAS!B:B,B322,ENTRADAS!D:D)</f>
        <v>1</v>
      </c>
      <c r="E322" s="71">
        <f>SUMIF(SALIDAS!B:B,B322,SALIDAS!D:D)</f>
        <v>0</v>
      </c>
      <c r="F322" s="89">
        <f t="shared" si="1"/>
        <v>1</v>
      </c>
      <c r="G322" s="90"/>
      <c r="H322" s="90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</row>
    <row r="323">
      <c r="A323" s="79"/>
      <c r="B323" s="88" t="s">
        <v>817</v>
      </c>
      <c r="C323" s="71" t="str">
        <f>IFERROR(VLOOKUP(B323 ,INVENTARIO!B336:C1000,2,0),"")</f>
        <v>juego de destornilladores preaislados</v>
      </c>
      <c r="D323" s="71">
        <f>SUMIF(ENTRADAS!B:B,B323,ENTRADAS!D:D)</f>
        <v>1</v>
      </c>
      <c r="E323" s="71">
        <f>SUMIF(SALIDAS!B:B,B323,SALIDAS!D:D)</f>
        <v>0</v>
      </c>
      <c r="F323" s="89">
        <f t="shared" si="1"/>
        <v>1</v>
      </c>
      <c r="G323" s="90"/>
      <c r="H323" s="90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</row>
    <row r="324">
      <c r="A324" s="79"/>
      <c r="B324" s="88" t="s">
        <v>819</v>
      </c>
      <c r="C324" s="71" t="str">
        <f>IFERROR(VLOOKUP(B324 ,INVENTARIO!B338:C1000,2,0),"")</f>
        <v>Juego de destornilladores bremen</v>
      </c>
      <c r="D324" s="71">
        <f>SUMIF(ENTRADAS!B:B,B324,ENTRADAS!D:D)</f>
        <v>1</v>
      </c>
      <c r="E324" s="71">
        <f>SUMIF(SALIDAS!B:B,B324,SALIDAS!D:D)</f>
        <v>0</v>
      </c>
      <c r="F324" s="89">
        <f t="shared" si="1"/>
        <v>1</v>
      </c>
      <c r="G324" s="90"/>
      <c r="H324" s="90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</row>
    <row r="325">
      <c r="A325" s="79"/>
      <c r="B325" s="88" t="s">
        <v>821</v>
      </c>
      <c r="C325" s="71" t="str">
        <f>IFERROR(VLOOKUP(B325 ,INVENTARIO!B339:C1000,2,0),"")</f>
        <v>maza de goma</v>
      </c>
      <c r="D325" s="71">
        <f>SUMIF(ENTRADAS!B:B,B325,ENTRADAS!D:D)</f>
        <v>0</v>
      </c>
      <c r="E325" s="71">
        <f>SUMIF(SALIDAS!B:B,B325,SALIDAS!D:D)</f>
        <v>0</v>
      </c>
      <c r="F325" s="89">
        <f t="shared" si="1"/>
        <v>0</v>
      </c>
      <c r="G325" s="90"/>
      <c r="H325" s="90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</row>
    <row r="326">
      <c r="A326" s="79"/>
      <c r="B326" s="88" t="s">
        <v>823</v>
      </c>
      <c r="C326" s="71" t="str">
        <f>IFERROR(VLOOKUP(B326 ,INVENTARIO!B340:C1000,2,0),"")</f>
        <v>Remachadora manual</v>
      </c>
      <c r="D326" s="71">
        <f>SUMIF(ENTRADAS!B:B,B326,ENTRADAS!D:D)</f>
        <v>1</v>
      </c>
      <c r="E326" s="71">
        <f>SUMIF(SALIDAS!B:B,B326,SALIDAS!D:D)</f>
        <v>0</v>
      </c>
      <c r="F326" s="89">
        <f t="shared" si="1"/>
        <v>1</v>
      </c>
      <c r="G326" s="90"/>
      <c r="H326" s="90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</row>
    <row r="327">
      <c r="A327" s="79"/>
      <c r="B327" s="88" t="s">
        <v>825</v>
      </c>
      <c r="C327" s="71" t="str">
        <f>IFERROR(VLOOKUP(B327 ,INVENTARIO!B341:C1000,2,0),"")</f>
        <v>Remachadora neumatica</v>
      </c>
      <c r="D327" s="71">
        <f>SUMIF(ENTRADAS!B:B,B327,ENTRADAS!D:D)</f>
        <v>1</v>
      </c>
      <c r="E327" s="71">
        <f>SUMIF(SALIDAS!B:B,B327,SALIDAS!D:D)</f>
        <v>0</v>
      </c>
      <c r="F327" s="89">
        <f t="shared" si="1"/>
        <v>1</v>
      </c>
      <c r="G327" s="90"/>
      <c r="H327" s="90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</row>
    <row r="328">
      <c r="A328" s="79"/>
      <c r="B328" s="88" t="s">
        <v>827</v>
      </c>
      <c r="C328" s="71" t="str">
        <f>IFERROR(VLOOKUP(B328 ,INVENTARIO!B342:C1000,2,0),"")</f>
        <v>Lima plana</v>
      </c>
      <c r="D328" s="71">
        <f>SUMIF(ENTRADAS!B:B,B328,ENTRADAS!D:D)</f>
        <v>2</v>
      </c>
      <c r="E328" s="71">
        <f>SUMIF(SALIDAS!B:B,B328,SALIDAS!D:D)</f>
        <v>0</v>
      </c>
      <c r="F328" s="89">
        <f t="shared" si="1"/>
        <v>2</v>
      </c>
      <c r="G328" s="90"/>
      <c r="H328" s="90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</row>
    <row r="329">
      <c r="A329" s="79"/>
      <c r="B329" s="88" t="s">
        <v>829</v>
      </c>
      <c r="C329" s="71" t="str">
        <f>IFERROR(VLOOKUP(B329 ,INVENTARIO!B342:C1000,2,0),"")</f>
        <v>Tijera de corte grande</v>
      </c>
      <c r="D329" s="71">
        <f>SUMIF(ENTRADAS!B:B,B329,ENTRADAS!D:D)</f>
        <v>1</v>
      </c>
      <c r="E329" s="71">
        <f>SUMIF(SALIDAS!B:B,B329,SALIDAS!D:D)</f>
        <v>0</v>
      </c>
      <c r="F329" s="89">
        <f t="shared" si="1"/>
        <v>1</v>
      </c>
      <c r="G329" s="90"/>
      <c r="H329" s="90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</row>
    <row r="330">
      <c r="A330" s="79"/>
      <c r="B330" s="88" t="s">
        <v>831</v>
      </c>
      <c r="C330" s="71" t="str">
        <f>IFERROR(VLOOKUP(B330 ,INVENTARIO!B343:C1000,2,0),"")</f>
        <v>Cinta metrica 3mts</v>
      </c>
      <c r="D330" s="71">
        <f>SUMIF(ENTRADAS!B:B,B330,ENTRADAS!D:D)</f>
        <v>1</v>
      </c>
      <c r="E330" s="71">
        <f>SUMIF(SALIDAS!B:B,B330,SALIDAS!D:D)</f>
        <v>0</v>
      </c>
      <c r="F330" s="89">
        <f t="shared" si="1"/>
        <v>1</v>
      </c>
      <c r="G330" s="90"/>
      <c r="H330" s="90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</row>
    <row r="331">
      <c r="A331" s="79"/>
      <c r="B331" s="88" t="s">
        <v>833</v>
      </c>
      <c r="C331" s="71" t="str">
        <f>IFERROR(VLOOKUP(B331 ,INVENTARIO!B344:C1000,2,0),"")</f>
        <v>Juego llaves alem milimetricas</v>
      </c>
      <c r="D331" s="71">
        <f>SUMIF(ENTRADAS!B:B,B331,ENTRADAS!D:D)</f>
        <v>2</v>
      </c>
      <c r="E331" s="71">
        <f>SUMIF(SALIDAS!B:B,B331,SALIDAS!D:D)</f>
        <v>0</v>
      </c>
      <c r="F331" s="89">
        <f t="shared" si="1"/>
        <v>2</v>
      </c>
      <c r="G331" s="90"/>
      <c r="H331" s="90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</row>
    <row r="332">
      <c r="A332" s="79"/>
      <c r="B332" s="88" t="s">
        <v>835</v>
      </c>
      <c r="C332" s="71" t="str">
        <f>IFERROR(VLOOKUP(B332 ,INVENTARIO!B345:C1000,2,0),"")</f>
        <v>Juego laves alem pulgadas</v>
      </c>
      <c r="D332" s="71">
        <f>SUMIF(ENTRADAS!B:B,B332,ENTRADAS!D:D)</f>
        <v>2</v>
      </c>
      <c r="E332" s="71">
        <f>SUMIF(SALIDAS!B:B,B332,SALIDAS!D:D)</f>
        <v>0</v>
      </c>
      <c r="F332" s="89">
        <f t="shared" si="1"/>
        <v>2</v>
      </c>
      <c r="G332" s="90"/>
      <c r="H332" s="90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</row>
    <row r="333">
      <c r="A333" s="79"/>
      <c r="B333" s="88" t="s">
        <v>1899</v>
      </c>
      <c r="C333" s="71" t="str">
        <f>IFERROR(VLOOKUP(B333 ,INVENTARIO!B346:C1000,2,0),"")</f>
        <v/>
      </c>
      <c r="D333" s="71">
        <f>SUMIF(ENTRADAS!B:B,B333,ENTRADAS!D:D)</f>
        <v>1</v>
      </c>
      <c r="E333" s="71">
        <f>SUMIF(SALIDAS!B:B,B333,SALIDAS!D:D)</f>
        <v>0</v>
      </c>
      <c r="F333" s="89">
        <f t="shared" si="1"/>
        <v>1</v>
      </c>
      <c r="G333" s="90"/>
      <c r="H333" s="90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</row>
    <row r="334">
      <c r="A334" s="79"/>
      <c r="B334" s="88" t="s">
        <v>1900</v>
      </c>
      <c r="C334" s="71" t="str">
        <f>IFERROR(VLOOKUP(B334 ,INVENTARIO!B347:C1000,2,0),"")</f>
        <v/>
      </c>
      <c r="D334" s="71">
        <f>SUMIF(ENTRADAS!B:B,B334,ENTRADAS!D:D)</f>
        <v>0</v>
      </c>
      <c r="E334" s="71">
        <f>SUMIF(SALIDAS!B:B,B334,SALIDAS!D:D)</f>
        <v>0</v>
      </c>
      <c r="F334" s="89">
        <f t="shared" si="1"/>
        <v>0</v>
      </c>
      <c r="G334" s="90"/>
      <c r="H334" s="90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</row>
    <row r="335">
      <c r="A335" s="79"/>
      <c r="B335" s="88" t="s">
        <v>1901</v>
      </c>
      <c r="C335" s="71" t="str">
        <f>IFERROR(VLOOKUP(B335 ,INVENTARIO!B348:C1000,2,0),"")</f>
        <v/>
      </c>
      <c r="D335" s="71">
        <f>SUMIF(ENTRADAS!B:B,B335,ENTRADAS!D:D)</f>
        <v>0</v>
      </c>
      <c r="E335" s="71">
        <f>SUMIF(SALIDAS!B:B,B335,SALIDAS!D:D)</f>
        <v>0</v>
      </c>
      <c r="F335" s="89">
        <f t="shared" si="1"/>
        <v>0</v>
      </c>
      <c r="G335" s="90"/>
      <c r="H335" s="90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</row>
    <row r="336">
      <c r="A336" s="79"/>
      <c r="B336" s="88" t="s">
        <v>1902</v>
      </c>
      <c r="C336" s="71" t="str">
        <f>IFERROR(VLOOKUP(B336 ,INVENTARIO!B349:C1000,2,0),"")</f>
        <v/>
      </c>
      <c r="D336" s="71">
        <f>SUMIF(ENTRADAS!B:B,B336,ENTRADAS!D:D)</f>
        <v>0</v>
      </c>
      <c r="E336" s="71">
        <f>SUMIF(SALIDAS!B:B,B336,SALIDAS!D:D)</f>
        <v>0</v>
      </c>
      <c r="F336" s="89">
        <f t="shared" si="1"/>
        <v>0</v>
      </c>
      <c r="G336" s="90"/>
      <c r="H336" s="90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</row>
    <row r="337">
      <c r="A337" s="79"/>
      <c r="B337" s="88" t="s">
        <v>1903</v>
      </c>
      <c r="C337" s="71" t="str">
        <f>IFERROR(VLOOKUP(B337 ,INVENTARIO!B350:C1000,2,0),"")</f>
        <v/>
      </c>
      <c r="D337" s="71">
        <f>SUMIF(ENTRADAS!B:B,B337,ENTRADAS!D:D)</f>
        <v>0</v>
      </c>
      <c r="E337" s="71">
        <f>SUMIF(SALIDAS!B:B,B337,SALIDAS!D:D)</f>
        <v>0</v>
      </c>
      <c r="F337" s="89">
        <f t="shared" si="1"/>
        <v>0</v>
      </c>
      <c r="G337" s="90"/>
      <c r="H337" s="90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</row>
    <row r="338">
      <c r="A338" s="79"/>
      <c r="B338" s="88" t="s">
        <v>1904</v>
      </c>
      <c r="C338" s="71" t="str">
        <f>IFERROR(VLOOKUP(B338 ,INVENTARIO!B351:C1000,2,0),"")</f>
        <v/>
      </c>
      <c r="D338" s="71">
        <f>SUMIF(ENTRADAS!B:B,B338,ENTRADAS!D:D)</f>
        <v>0</v>
      </c>
      <c r="E338" s="71">
        <f>SUMIF(SALIDAS!B:B,B338,SALIDAS!D:D)</f>
        <v>0</v>
      </c>
      <c r="F338" s="89">
        <f t="shared" si="1"/>
        <v>0</v>
      </c>
      <c r="G338" s="90"/>
      <c r="H338" s="90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</row>
    <row r="339">
      <c r="A339" s="79"/>
      <c r="B339" s="88" t="s">
        <v>1905</v>
      </c>
      <c r="C339" s="71" t="str">
        <f>IFERROR(VLOOKUP(B339 ,INVENTARIO!B352:C1000,2,0),"")</f>
        <v/>
      </c>
      <c r="D339" s="71">
        <f>SUMIF(ENTRADAS!B:B,B339,ENTRADAS!D:D)</f>
        <v>1</v>
      </c>
      <c r="E339" s="71">
        <f>SUMIF(SALIDAS!B:B,B339,SALIDAS!D:D)</f>
        <v>0</v>
      </c>
      <c r="F339" s="89">
        <f t="shared" si="1"/>
        <v>1</v>
      </c>
      <c r="G339" s="90"/>
      <c r="H339" s="90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</row>
    <row r="340">
      <c r="A340" s="79"/>
      <c r="B340" s="88" t="s">
        <v>1906</v>
      </c>
      <c r="C340" s="71" t="str">
        <f>IFERROR(VLOOKUP(B340 ,INVENTARIO!B353:C1000,2,0),"")</f>
        <v/>
      </c>
      <c r="D340" s="71">
        <f>SUMIF(ENTRADAS!B:B,B340,ENTRADAS!D:D)</f>
        <v>2</v>
      </c>
      <c r="E340" s="71">
        <f>SUMIF(SALIDAS!B:B,B340,SALIDAS!D:D)</f>
        <v>0</v>
      </c>
      <c r="F340" s="89">
        <f t="shared" si="1"/>
        <v>2</v>
      </c>
      <c r="G340" s="90"/>
      <c r="H340" s="90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</row>
    <row r="341">
      <c r="A341" s="79"/>
      <c r="B341" s="88" t="s">
        <v>1907</v>
      </c>
      <c r="C341" s="71" t="str">
        <f>IFERROR(VLOOKUP(B341 ,INVENTARIO!B354:C1000,2,0),"")</f>
        <v/>
      </c>
      <c r="D341" s="71">
        <f>SUMIF(ENTRADAS!B:B,B341,ENTRADAS!D:D)</f>
        <v>0</v>
      </c>
      <c r="E341" s="71">
        <f>SUMIF(SALIDAS!B:B,B341,SALIDAS!D:D)</f>
        <v>0</v>
      </c>
      <c r="F341" s="89">
        <f t="shared" si="1"/>
        <v>0</v>
      </c>
      <c r="G341" s="90"/>
      <c r="H341" s="90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</row>
    <row r="342">
      <c r="A342" s="79"/>
      <c r="B342" s="88" t="s">
        <v>1908</v>
      </c>
      <c r="C342" s="71" t="str">
        <f>IFERROR(VLOOKUP(B342 ,INVENTARIO!B355:C1000,2,0),"")</f>
        <v/>
      </c>
      <c r="D342" s="71">
        <f>SUMIF(ENTRADAS!B:B,B342,ENTRADAS!D:D)</f>
        <v>0</v>
      </c>
      <c r="E342" s="71">
        <f>SUMIF(SALIDAS!B:B,B342,SALIDAS!D:D)</f>
        <v>0</v>
      </c>
      <c r="F342" s="89">
        <f t="shared" si="1"/>
        <v>0</v>
      </c>
      <c r="G342" s="90"/>
      <c r="H342" s="90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</row>
    <row r="343">
      <c r="A343" s="79"/>
      <c r="B343" s="88" t="s">
        <v>1909</v>
      </c>
      <c r="C343" s="71" t="str">
        <f>IFERROR(VLOOKUP(B343 ,INVENTARIO!B356:C1000,2,0),"")</f>
        <v/>
      </c>
      <c r="D343" s="71">
        <f>SUMIF(ENTRADAS!B:B,B343,ENTRADAS!D:D)</f>
        <v>2</v>
      </c>
      <c r="E343" s="71">
        <f>SUMIF(SALIDAS!B:B,B343,SALIDAS!D:D)</f>
        <v>0</v>
      </c>
      <c r="F343" s="89">
        <f t="shared" si="1"/>
        <v>2</v>
      </c>
      <c r="G343" s="90"/>
      <c r="H343" s="90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</row>
    <row r="344">
      <c r="A344" s="79"/>
      <c r="B344" s="88" t="s">
        <v>1910</v>
      </c>
      <c r="C344" s="71" t="str">
        <f>IFERROR(VLOOKUP(B344 ,INVENTARIO!B357:C1000,2,0),"")</f>
        <v/>
      </c>
      <c r="D344" s="71">
        <f>SUMIF(ENTRADAS!B:B,B344,ENTRADAS!D:D)</f>
        <v>2</v>
      </c>
      <c r="E344" s="71">
        <f>SUMIF(SALIDAS!B:B,B344,SALIDAS!D:D)</f>
        <v>0</v>
      </c>
      <c r="F344" s="89">
        <f t="shared" si="1"/>
        <v>2</v>
      </c>
      <c r="G344" s="90"/>
      <c r="H344" s="90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</row>
    <row r="345">
      <c r="A345" s="79"/>
      <c r="B345" s="88" t="s">
        <v>1911</v>
      </c>
      <c r="C345" s="71" t="str">
        <f>IFERROR(VLOOKUP(B345 ,INVENTARIO!B358:C1000,2,0),"")</f>
        <v/>
      </c>
      <c r="D345" s="71">
        <f>SUMIF(ENTRADAS!B:B,B345,ENTRADAS!D:D)</f>
        <v>1</v>
      </c>
      <c r="E345" s="71">
        <f>SUMIF(SALIDAS!B:B,B345,SALIDAS!D:D)</f>
        <v>0</v>
      </c>
      <c r="F345" s="89">
        <f t="shared" si="1"/>
        <v>1</v>
      </c>
      <c r="G345" s="90"/>
      <c r="H345" s="90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</row>
    <row r="346">
      <c r="A346" s="79"/>
      <c r="B346" s="88" t="s">
        <v>1912</v>
      </c>
      <c r="C346" s="71" t="str">
        <f>IFERROR(VLOOKUP(B346 ,INVENTARIO!B359:C1000,2,0),"")</f>
        <v/>
      </c>
      <c r="D346" s="71">
        <f>SUMIF(ENTRADAS!B:B,B346,ENTRADAS!D:D)</f>
        <v>0</v>
      </c>
      <c r="E346" s="71">
        <f>SUMIF(SALIDAS!B:B,B346,SALIDAS!D:D)</f>
        <v>0</v>
      </c>
      <c r="F346" s="89">
        <f t="shared" si="1"/>
        <v>0</v>
      </c>
      <c r="G346" s="90"/>
      <c r="H346" s="90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</row>
    <row r="347">
      <c r="A347" s="79"/>
      <c r="B347" s="88" t="s">
        <v>1913</v>
      </c>
      <c r="C347" s="71" t="str">
        <f>IFERROR(VLOOKUP(B347 ,INVENTARIO!B359:C1000,2,0),"")</f>
        <v/>
      </c>
      <c r="D347" s="71">
        <f>SUMIF(ENTRADAS!B:B,B347,ENTRADAS!D:D)</f>
        <v>1</v>
      </c>
      <c r="E347" s="71">
        <f>SUMIF(SALIDAS!B:B,B347,SALIDAS!D:D)</f>
        <v>0</v>
      </c>
      <c r="F347" s="89">
        <f t="shared" si="1"/>
        <v>1</v>
      </c>
      <c r="G347" s="90"/>
      <c r="H347" s="90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</row>
    <row r="348">
      <c r="A348" s="79"/>
      <c r="B348" s="88" t="s">
        <v>1914</v>
      </c>
      <c r="C348" s="71" t="str">
        <f>IFERROR(VLOOKUP(B348 ,INVENTARIO!B361:C1000,2,0),"")</f>
        <v/>
      </c>
      <c r="D348" s="71">
        <f>SUMIF(ENTRADAS!B:B,B348,ENTRADAS!D:D)</f>
        <v>1</v>
      </c>
      <c r="E348" s="71">
        <f>SUMIF(SALIDAS!B:B,B348,SALIDAS!D:D)</f>
        <v>0</v>
      </c>
      <c r="F348" s="89">
        <f t="shared" si="1"/>
        <v>1</v>
      </c>
      <c r="G348" s="90"/>
      <c r="H348" s="90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</row>
    <row r="349">
      <c r="A349" s="79"/>
      <c r="B349" s="88" t="s">
        <v>923</v>
      </c>
      <c r="C349" s="71" t="str">
        <f>IFERROR(VLOOKUP(B349 ,INVENTARIO!B362:C1000,2,0),"")</f>
        <v>Juegos de llaves tubo</v>
      </c>
      <c r="D349" s="71">
        <f>SUMIF(ENTRADAS!B:B,B349,ENTRADAS!D:D)</f>
        <v>0</v>
      </c>
      <c r="E349" s="71">
        <f>SUMIF(SALIDAS!B:B,B349,SALIDAS!D:D)</f>
        <v>0</v>
      </c>
      <c r="F349" s="89">
        <f t="shared" si="1"/>
        <v>0</v>
      </c>
      <c r="G349" s="90"/>
      <c r="H349" s="90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</row>
    <row r="350">
      <c r="A350" s="79"/>
      <c r="B350" s="88" t="s">
        <v>925</v>
      </c>
      <c r="C350" s="71" t="str">
        <f>IFERROR(VLOOKUP(B350 ,INVENTARIO!B363:C1000,2,0),"")</f>
        <v>Cinta de teflon- Lata densidad 3/4"</v>
      </c>
      <c r="D350" s="71">
        <f>SUMIF(ENTRADAS!B:B,B350,ENTRADAS!D:D)</f>
        <v>1</v>
      </c>
      <c r="E350" s="71">
        <f>SUMIF(SALIDAS!B:B,B350,SALIDAS!D:D)</f>
        <v>0</v>
      </c>
      <c r="F350" s="89">
        <f t="shared" si="1"/>
        <v>1</v>
      </c>
      <c r="G350" s="90"/>
      <c r="H350" s="90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</row>
    <row r="351">
      <c r="A351" s="79"/>
      <c r="B351" s="88" t="s">
        <v>928</v>
      </c>
      <c r="C351" s="71" t="str">
        <f>IFERROR(VLOOKUP(B351 ,INVENTARIO!B364:C1000,2,0),"")</f>
        <v>Fastix alta temperatura</v>
      </c>
      <c r="D351" s="71">
        <f>SUMIF(ENTRADAS!B:B,B351,ENTRADAS!D:D)</f>
        <v>2</v>
      </c>
      <c r="E351" s="71">
        <f>SUMIF(SALIDAS!B:B,B351,SALIDAS!D:D)</f>
        <v>0</v>
      </c>
      <c r="F351" s="89">
        <f t="shared" si="1"/>
        <v>2</v>
      </c>
      <c r="G351" s="90"/>
      <c r="H351" s="90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</row>
    <row r="352">
      <c r="A352" s="79"/>
      <c r="B352" s="88" t="s">
        <v>931</v>
      </c>
      <c r="C352" s="71" t="str">
        <f>IFERROR(VLOOKUP(B352 ,INVENTARIO!B365:C1000,2,0),"")</f>
        <v>sellador trsparente</v>
      </c>
      <c r="D352" s="71">
        <f>SUMIF(ENTRADAS!B:B,B352,ENTRADAS!D:D)</f>
        <v>1</v>
      </c>
      <c r="E352" s="71">
        <f>SUMIF(SALIDAS!B:B,B352,SALIDAS!D:D)</f>
        <v>0</v>
      </c>
      <c r="F352" s="89">
        <f t="shared" si="1"/>
        <v>1</v>
      </c>
      <c r="G352" s="90"/>
      <c r="H352" s="90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</row>
    <row r="353">
      <c r="A353" s="79"/>
      <c r="B353" s="88" t="s">
        <v>933</v>
      </c>
      <c r="C353" s="71" t="str">
        <f>IFERROR(VLOOKUP(B353 ,INVENTARIO!B365:C1000,2,0),"")</f>
        <v>Suprabond zingueria y canaletas</v>
      </c>
      <c r="D353" s="71">
        <f>SUMIF(ENTRADAS!B:B,B353,ENTRADAS!D:D)</f>
        <v>3</v>
      </c>
      <c r="E353" s="71">
        <f>SUMIF(SALIDAS!B:B,B353,SALIDAS!D:D)</f>
        <v>0</v>
      </c>
      <c r="F353" s="89">
        <f t="shared" si="1"/>
        <v>3</v>
      </c>
      <c r="G353" s="90"/>
      <c r="H353" s="90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</row>
    <row r="354">
      <c r="A354" s="79"/>
      <c r="B354" s="88" t="s">
        <v>935</v>
      </c>
      <c r="C354" s="71" t="str">
        <f>IFERROR(VLOOKUP(B354 ,INVENTARIO!B366:C1000,2,0),"")</f>
        <v>Suprabond adesivo instantaneo</v>
      </c>
      <c r="D354" s="71">
        <f>SUMIF(ENTRADAS!B:B,B354,ENTRADAS!D:D)</f>
        <v>2</v>
      </c>
      <c r="E354" s="71">
        <f>SUMIF(SALIDAS!B:B,B354,SALIDAS!D:D)</f>
        <v>0</v>
      </c>
      <c r="F354" s="89">
        <f t="shared" si="1"/>
        <v>2</v>
      </c>
      <c r="G354" s="90"/>
      <c r="H354" s="90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</row>
    <row r="355">
      <c r="A355" s="79"/>
      <c r="B355" s="88" t="s">
        <v>1915</v>
      </c>
      <c r="C355" s="71" t="str">
        <f>IFERROR(VLOOKUP(B355 ,INVENTARIO!B367:C1000,2,0),"")</f>
        <v/>
      </c>
      <c r="D355" s="71">
        <f>SUMIF(ENTRADAS!B:B,B355,ENTRADAS!D:D)</f>
        <v>1</v>
      </c>
      <c r="E355" s="71">
        <f>SUMIF(SALIDAS!B:B,B355,SALIDAS!D:D)</f>
        <v>1</v>
      </c>
      <c r="F355" s="89">
        <f t="shared" si="1"/>
        <v>0</v>
      </c>
      <c r="G355" s="90"/>
      <c r="H355" s="90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</row>
    <row r="356">
      <c r="A356" s="79"/>
      <c r="B356" s="88" t="s">
        <v>939</v>
      </c>
      <c r="C356" s="71" t="str">
        <f>IFERROR(VLOOKUP(B356 ,INVENTARIO!B368:C1000,2,0),"")</f>
        <v>Juego de punzones</v>
      </c>
      <c r="D356" s="71">
        <f>SUMIF(ENTRADAS!B:B,B356,ENTRADAS!D:D)</f>
        <v>4</v>
      </c>
      <c r="E356" s="71">
        <f>SUMIF(SALIDAS!B:B,B356,SALIDAS!D:D)</f>
        <v>0</v>
      </c>
      <c r="F356" s="89">
        <f t="shared" si="1"/>
        <v>4</v>
      </c>
      <c r="G356" s="90"/>
      <c r="H356" s="90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</row>
    <row r="357">
      <c r="A357" s="79"/>
      <c r="B357" s="88" t="s">
        <v>941</v>
      </c>
      <c r="C357" s="71" t="str">
        <f>IFERROR(VLOOKUP(B357 ,INVENTARIO!B369:C1000,2,0),"")</f>
        <v>Martillo bolita</v>
      </c>
      <c r="D357" s="71">
        <f>SUMIF(ENTRADAS!B:B,B357,ENTRADAS!D:D)</f>
        <v>1</v>
      </c>
      <c r="E357" s="71">
        <f>SUMIF(SALIDAS!B:B,B357,SALIDAS!D:D)</f>
        <v>0</v>
      </c>
      <c r="F357" s="89">
        <f t="shared" si="1"/>
        <v>1</v>
      </c>
      <c r="G357" s="90"/>
      <c r="H357" s="90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</row>
    <row r="358">
      <c r="A358" s="79"/>
      <c r="B358" s="88" t="s">
        <v>943</v>
      </c>
      <c r="C358" s="71" t="str">
        <f>IFERROR(VLOOKUP(B358 ,INVENTARIO!B370:C1000,2,0),"")</f>
        <v>Martillo carpintero</v>
      </c>
      <c r="D358" s="71">
        <f>SUMIF(ENTRADAS!B:B,B358,ENTRADAS!D:D)</f>
        <v>1</v>
      </c>
      <c r="E358" s="71">
        <f>SUMIF(SALIDAS!B:B,B358,SALIDAS!D:D)</f>
        <v>0</v>
      </c>
      <c r="F358" s="89">
        <f t="shared" si="1"/>
        <v>1</v>
      </c>
      <c r="G358" s="90"/>
      <c r="H358" s="90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</row>
    <row r="359">
      <c r="A359" s="79"/>
      <c r="B359" s="88" t="s">
        <v>945</v>
      </c>
      <c r="C359" s="71" t="str">
        <f>IFERROR(VLOOKUP(B359 ,INVENTARIO!B371:C1000,2,0),"")</f>
        <v>Llave 3/8 "</v>
      </c>
      <c r="D359" s="71">
        <f>SUMIF(ENTRADAS!B:B,B359,ENTRADAS!D:D)</f>
        <v>1</v>
      </c>
      <c r="E359" s="71">
        <f>SUMIF(SALIDAS!B:B,B359,SALIDAS!D:D)</f>
        <v>0</v>
      </c>
      <c r="F359" s="89">
        <f t="shared" si="1"/>
        <v>1</v>
      </c>
      <c r="G359" s="90"/>
      <c r="H359" s="90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</row>
    <row r="360">
      <c r="A360" s="79"/>
      <c r="B360" s="88" t="s">
        <v>947</v>
      </c>
      <c r="C360" s="71" t="str">
        <f>IFERROR(VLOOKUP(B360 ,INVENTARIO!B372:C1000,2,0),"")</f>
        <v>Llave 7/16"</v>
      </c>
      <c r="D360" s="71">
        <f>SUMIF(ENTRADAS!B:B,B360,ENTRADAS!D:D)</f>
        <v>1</v>
      </c>
      <c r="E360" s="71">
        <f>SUMIF(SALIDAS!B:B,B360,SALIDAS!D:D)</f>
        <v>0</v>
      </c>
      <c r="F360" s="89">
        <f t="shared" si="1"/>
        <v>1</v>
      </c>
      <c r="G360" s="90"/>
      <c r="H360" s="90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</row>
    <row r="361">
      <c r="A361" s="79"/>
      <c r="B361" s="88" t="s">
        <v>949</v>
      </c>
      <c r="C361" s="71" t="str">
        <f>IFERROR(VLOOKUP(B361 ,INVENTARIO!B373:C1000,2,0),"")</f>
        <v>Llave 1/2"</v>
      </c>
      <c r="D361" s="71">
        <f>SUMIF(ENTRADAS!B:B,B361,ENTRADAS!D:D)</f>
        <v>1</v>
      </c>
      <c r="E361" s="71">
        <f>SUMIF(SALIDAS!B:B,B361,SALIDAS!D:D)</f>
        <v>0</v>
      </c>
      <c r="F361" s="89">
        <f t="shared" si="1"/>
        <v>1</v>
      </c>
      <c r="G361" s="90"/>
      <c r="H361" s="90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</row>
    <row r="362">
      <c r="A362" s="79"/>
      <c r="B362" s="88" t="s">
        <v>951</v>
      </c>
      <c r="C362" s="71" t="str">
        <f>IFERROR(VLOOKUP(B362 ,INVENTARIO!B374:C1000,2,0),"")</f>
        <v>Llave 5/8"</v>
      </c>
      <c r="D362" s="71">
        <f>SUMIF(ENTRADAS!B:B,B362,ENTRADAS!D:D)</f>
        <v>2</v>
      </c>
      <c r="E362" s="71">
        <f>SUMIF(SALIDAS!B:B,B362,SALIDAS!D:D)</f>
        <v>0</v>
      </c>
      <c r="F362" s="89">
        <f t="shared" si="1"/>
        <v>2</v>
      </c>
      <c r="G362" s="90"/>
      <c r="H362" s="90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</row>
    <row r="363">
      <c r="A363" s="79"/>
      <c r="B363" s="88" t="s">
        <v>953</v>
      </c>
      <c r="C363" s="71" t="str">
        <f>IFERROR(VLOOKUP(B363 ,INVENTARIO!B375:C1000,2,0),"")</f>
        <v>Llave 3/4"</v>
      </c>
      <c r="D363" s="71">
        <f>SUMIF(ENTRADAS!B:B,B363,ENTRADAS!D:D)</f>
        <v>1</v>
      </c>
      <c r="E363" s="71">
        <f>SUMIF(SALIDAS!B:B,B363,SALIDAS!D:D)</f>
        <v>0</v>
      </c>
      <c r="F363" s="89">
        <f t="shared" si="1"/>
        <v>1</v>
      </c>
      <c r="G363" s="90"/>
      <c r="H363" s="90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</row>
    <row r="364">
      <c r="A364" s="79"/>
      <c r="B364" s="88" t="s">
        <v>955</v>
      </c>
      <c r="C364" s="71" t="str">
        <f>IFERROR(VLOOKUP(B364 ,INVENTARIO!B376:C1000,2,0),"")</f>
        <v>Llave combinada crique 10mm</v>
      </c>
      <c r="D364" s="71">
        <f>SUMIF(ENTRADAS!B:B,B364,ENTRADAS!D:D)</f>
        <v>1</v>
      </c>
      <c r="E364" s="71">
        <f>SUMIF(SALIDAS!B:B,B364,SALIDAS!D:D)</f>
        <v>0</v>
      </c>
      <c r="F364" s="89">
        <f t="shared" si="1"/>
        <v>1</v>
      </c>
      <c r="G364" s="90"/>
      <c r="H364" s="90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</row>
    <row r="365">
      <c r="A365" s="79"/>
      <c r="B365" s="88" t="s">
        <v>957</v>
      </c>
      <c r="C365" s="71" t="str">
        <f>IFERROR(VLOOKUP(B365 ,INVENTARIO!B377:C1000,2,0),"")</f>
        <v>Llave combinada crique 17mm</v>
      </c>
      <c r="D365" s="71">
        <f>SUMIF(ENTRADAS!B:B,B365,ENTRADAS!D:D)</f>
        <v>0</v>
      </c>
      <c r="E365" s="71">
        <f>SUMIF(SALIDAS!B:B,B365,SALIDAS!D:D)</f>
        <v>0</v>
      </c>
      <c r="F365" s="89">
        <f t="shared" si="1"/>
        <v>0</v>
      </c>
      <c r="G365" s="90"/>
      <c r="H365" s="90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</row>
    <row r="366">
      <c r="A366" s="79"/>
      <c r="B366" s="88" t="s">
        <v>959</v>
      </c>
      <c r="C366" s="71" t="str">
        <f>IFERROR(VLOOKUP(B366 ,INVENTARIO!B378:C1000,2,0),"")</f>
        <v>Pinza pico de loro bahco</v>
      </c>
      <c r="D366" s="71">
        <f>SUMIF(ENTRADAS!B:B,B366,ENTRADAS!D:D)</f>
        <v>1</v>
      </c>
      <c r="E366" s="71">
        <f>SUMIF(SALIDAS!B:B,B366,SALIDAS!D:D)</f>
        <v>0</v>
      </c>
      <c r="F366" s="89">
        <f t="shared" si="1"/>
        <v>1</v>
      </c>
      <c r="G366" s="90"/>
      <c r="H366" s="90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</row>
    <row r="367">
      <c r="A367" s="79"/>
      <c r="B367" s="88" t="s">
        <v>961</v>
      </c>
      <c r="C367" s="71" t="str">
        <f>IFERROR(VLOOKUP(B367 ,INVENTARIO!B379:C1000,2,0),"")</f>
        <v>pinza cerrar seguer punta recta</v>
      </c>
      <c r="D367" s="71">
        <f>SUMIF(ENTRADAS!B:B,B367,ENTRADAS!D:D)</f>
        <v>1</v>
      </c>
      <c r="E367" s="71">
        <f>SUMIF(SALIDAS!B:B,B367,SALIDAS!D:D)</f>
        <v>0</v>
      </c>
      <c r="F367" s="89">
        <f t="shared" si="1"/>
        <v>1</v>
      </c>
      <c r="G367" s="90"/>
      <c r="H367" s="90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</row>
    <row r="368">
      <c r="A368" s="79"/>
      <c r="B368" s="88" t="s">
        <v>964</v>
      </c>
      <c r="C368" s="71" t="str">
        <f>IFERROR(VLOOKUP(B368 ,INVENTARIO!B380:C1000,2,0),"")</f>
        <v>Pinza abre seguer punta recta</v>
      </c>
      <c r="D368" s="71">
        <f>SUMIF(ENTRADAS!B:B,B368,ENTRADAS!D:D)</f>
        <v>1</v>
      </c>
      <c r="E368" s="71">
        <f>SUMIF(SALIDAS!B:B,B368,SALIDAS!D:D)</f>
        <v>0</v>
      </c>
      <c r="F368" s="89">
        <f t="shared" si="1"/>
        <v>1</v>
      </c>
      <c r="G368" s="90"/>
      <c r="H368" s="90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</row>
    <row r="369">
      <c r="A369" s="79"/>
      <c r="B369" s="88" t="s">
        <v>966</v>
      </c>
      <c r="C369" s="71" t="str">
        <f>IFERROR(VLOOKUP(B369 ,INVENTARIO!B381:C1000,2,0),"")</f>
        <v>Pinza cierra seguer punta recta</v>
      </c>
      <c r="D369" s="71">
        <f>SUMIF(ENTRADAS!B:B,B369,ENTRADAS!D:D)</f>
        <v>1</v>
      </c>
      <c r="E369" s="71">
        <f>SUMIF(SALIDAS!B:B,B369,SALIDAS!D:D)</f>
        <v>0</v>
      </c>
      <c r="F369" s="89">
        <f t="shared" si="1"/>
        <v>1</v>
      </c>
      <c r="G369" s="90"/>
      <c r="H369" s="90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</row>
    <row r="370">
      <c r="A370" s="79"/>
      <c r="B370" s="88" t="s">
        <v>968</v>
      </c>
      <c r="C370" s="71" t="str">
        <f>IFERROR(VLOOKUP(B370 ,INVENTARIO!B382:C1000,2,0),"")</f>
        <v>Pinza abrir seguer punta curva</v>
      </c>
      <c r="D370" s="71">
        <f>SUMIF(ENTRADAS!B:B,B370,ENTRADAS!D:D)</f>
        <v>1</v>
      </c>
      <c r="E370" s="71">
        <f>SUMIF(SALIDAS!B:B,B370,SALIDAS!D:D)</f>
        <v>0</v>
      </c>
      <c r="F370" s="89">
        <f t="shared" si="1"/>
        <v>1</v>
      </c>
      <c r="G370" s="90"/>
      <c r="H370" s="90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</row>
    <row r="371">
      <c r="A371" s="79"/>
      <c r="B371" s="88" t="s">
        <v>971</v>
      </c>
      <c r="C371" s="71" t="str">
        <f>IFERROR(VLOOKUP(B371 ,INVENTARIO!B383:C1000,2,0),"")</f>
        <v>Pinza abrir seger curva (7")</v>
      </c>
      <c r="D371" s="71">
        <f>SUMIF(ENTRADAS!B:B,B371,ENTRADAS!D:D)</f>
        <v>1</v>
      </c>
      <c r="E371" s="71">
        <f>SUMIF(SALIDAS!B:B,B371,SALIDAS!D:D)</f>
        <v>0</v>
      </c>
      <c r="F371" s="89">
        <f t="shared" si="1"/>
        <v>1</v>
      </c>
      <c r="G371" s="90"/>
      <c r="H371" s="90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</row>
    <row r="372">
      <c r="A372" s="79"/>
      <c r="B372" s="88" t="s">
        <v>974</v>
      </c>
      <c r="C372" s="71" t="str">
        <f>IFERROR(VLOOKUP(B372 ,INVENTARIO!B384:C1000,2,0),"")</f>
        <v>Pinza abrir seger recta (7")</v>
      </c>
      <c r="D372" s="71">
        <f>SUMIF(ENTRADAS!B:B,B372,ENTRADAS!D:D)</f>
        <v>1</v>
      </c>
      <c r="E372" s="71">
        <f>SUMIF(SALIDAS!B:B,B372,SALIDAS!D:D)</f>
        <v>0</v>
      </c>
      <c r="F372" s="89">
        <f t="shared" si="1"/>
        <v>1</v>
      </c>
      <c r="G372" s="90"/>
      <c r="H372" s="90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</row>
    <row r="373">
      <c r="A373" s="79"/>
      <c r="B373" s="88" t="s">
        <v>977</v>
      </c>
      <c r="C373" s="71" t="str">
        <f>IFERROR(VLOOKUP(B373 ,INVENTARIO!B385:C1000,2,0),"")</f>
        <v>Pinza cerrar seger curva (7")</v>
      </c>
      <c r="D373" s="71">
        <f>SUMIF(ENTRADAS!B:B,B373,ENTRADAS!D:D)</f>
        <v>1</v>
      </c>
      <c r="E373" s="71">
        <f>SUMIF(SALIDAS!B:B,B373,SALIDAS!D:D)</f>
        <v>0</v>
      </c>
      <c r="F373" s="89">
        <f t="shared" si="1"/>
        <v>1</v>
      </c>
      <c r="G373" s="90"/>
      <c r="H373" s="90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</row>
    <row r="374">
      <c r="A374" s="79"/>
      <c r="B374" s="88" t="s">
        <v>980</v>
      </c>
      <c r="C374" s="71" t="str">
        <f>IFERROR(VLOOKUP(B374 ,INVENTARIO!B386:C1000,2,0),"")</f>
        <v>Pinza cerrar seger recta (7")</v>
      </c>
      <c r="D374" s="71">
        <f>SUMIF(ENTRADAS!B:B,B374,ENTRADAS!D:D)</f>
        <v>1</v>
      </c>
      <c r="E374" s="71">
        <f>SUMIF(SALIDAS!B:B,B374,SALIDAS!D:D)</f>
        <v>0</v>
      </c>
      <c r="F374" s="89">
        <f t="shared" si="1"/>
        <v>1</v>
      </c>
      <c r="G374" s="90"/>
      <c r="H374" s="90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</row>
    <row r="375">
      <c r="A375" s="79"/>
      <c r="B375" s="88" t="s">
        <v>983</v>
      </c>
      <c r="C375" s="71" t="str">
        <f>IFERROR(VLOOKUP(B375 ,INVENTARIO!B387:C1000,2,0),"")</f>
        <v>Pinza cierra seguer punta curva</v>
      </c>
      <c r="D375" s="71">
        <f>SUMIF(ENTRADAS!B:B,B375,ENTRADAS!D:D)</f>
        <v>1</v>
      </c>
      <c r="E375" s="71">
        <f>SUMIF(SALIDAS!B:B,B375,SALIDAS!D:D)</f>
        <v>0</v>
      </c>
      <c r="F375" s="89">
        <f t="shared" si="1"/>
        <v>1</v>
      </c>
      <c r="G375" s="90"/>
      <c r="H375" s="90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</row>
    <row r="376">
      <c r="A376" s="79"/>
      <c r="B376" s="88" t="s">
        <v>985</v>
      </c>
      <c r="C376" s="71" t="str">
        <f>IFERROR(VLOOKUP(B376 ,INVENTARIO!B388:C1000,2,0),"")</f>
        <v>pinza seger 9" abrir recta</v>
      </c>
      <c r="D376" s="71">
        <f>SUMIF(ENTRADAS!B:B,B376,ENTRADAS!D:D)</f>
        <v>1</v>
      </c>
      <c r="E376" s="71">
        <f>SUMIF(SALIDAS!B:B,B376,SALIDAS!D:D)</f>
        <v>0</v>
      </c>
      <c r="F376" s="89">
        <f t="shared" si="1"/>
        <v>1</v>
      </c>
      <c r="G376" s="90"/>
      <c r="H376" s="90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</row>
    <row r="377">
      <c r="A377" s="79"/>
      <c r="B377" s="88" t="s">
        <v>987</v>
      </c>
      <c r="C377" s="71" t="str">
        <f>IFERROR(VLOOKUP(B377 ,INVENTARIO!B389:C1000,2,0),"")</f>
        <v>pinza seger 9" cerrar recta</v>
      </c>
      <c r="D377" s="71">
        <f>SUMIF(ENTRADAS!B:B,B377,ENTRADAS!D:D)</f>
        <v>1</v>
      </c>
      <c r="E377" s="71">
        <f>SUMIF(SALIDAS!B:B,B377,SALIDAS!D:D)</f>
        <v>0</v>
      </c>
      <c r="F377" s="89">
        <f t="shared" si="1"/>
        <v>1</v>
      </c>
      <c r="G377" s="90"/>
      <c r="H377" s="90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</row>
    <row r="378">
      <c r="A378" s="79"/>
      <c r="B378" s="88" t="s">
        <v>989</v>
      </c>
      <c r="C378" s="71" t="str">
        <f>IFERROR(VLOOKUP(B378 ,INVENTARIO!B390:C1000,2,0),"")</f>
        <v>Llave estilson 1"</v>
      </c>
      <c r="D378" s="71">
        <f>SUMIF(ENTRADAS!B:B,B378,ENTRADAS!D:D)</f>
        <v>1</v>
      </c>
      <c r="E378" s="71">
        <f>SUMIF(SALIDAS!B:B,B378,SALIDAS!D:D)</f>
        <v>0</v>
      </c>
      <c r="F378" s="89">
        <f t="shared" si="1"/>
        <v>1</v>
      </c>
      <c r="G378" s="90"/>
      <c r="H378" s="90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</row>
    <row r="379">
      <c r="A379" s="79"/>
      <c r="B379" s="88" t="s">
        <v>991</v>
      </c>
      <c r="C379" s="71" t="str">
        <f>IFERROR(VLOOKUP(B379 ,INVENTARIO!B391:C1000,2,0),"")</f>
        <v>Llave estilson 2"</v>
      </c>
      <c r="D379" s="71">
        <f>SUMIF(ENTRADAS!B:B,B379,ENTRADAS!D:D)</f>
        <v>1</v>
      </c>
      <c r="E379" s="71">
        <f>SUMIF(SALIDAS!B:B,B379,SALIDAS!D:D)</f>
        <v>0</v>
      </c>
      <c r="F379" s="89">
        <f t="shared" si="1"/>
        <v>1</v>
      </c>
      <c r="G379" s="90"/>
      <c r="H379" s="90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</row>
    <row r="380">
      <c r="A380" s="79"/>
      <c r="B380" s="88" t="s">
        <v>993</v>
      </c>
      <c r="C380" s="71" t="str">
        <f>IFERROR(VLOOKUP(B380 ,INVENTARIO!B392:C1000,2,0),"")</f>
        <v>Llave estilson 144</v>
      </c>
      <c r="D380" s="71">
        <f>SUMIF(ENTRADAS!B:B,B380,ENTRADAS!D:D)</f>
        <v>1</v>
      </c>
      <c r="E380" s="71">
        <f>SUMIF(SALIDAS!B:B,B380,SALIDAS!D:D)</f>
        <v>0</v>
      </c>
      <c r="F380" s="89">
        <f t="shared" si="1"/>
        <v>1</v>
      </c>
      <c r="G380" s="90"/>
      <c r="H380" s="90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</row>
    <row r="381">
      <c r="A381" s="79"/>
      <c r="B381" s="88" t="s">
        <v>995</v>
      </c>
      <c r="C381" s="71" t="str">
        <f>IFERROR(VLOOKUP(B381 ,INVENTARIO!B393:C1000,2,0),"")</f>
        <v>Llave estilson 142 HD BAHCO</v>
      </c>
      <c r="D381" s="71">
        <f>SUMIF(ENTRADAS!B:B,B381,ENTRADAS!D:D)</f>
        <v>1</v>
      </c>
      <c r="E381" s="71">
        <f>SUMIF(SALIDAS!B:B,B381,SALIDAS!D:D)</f>
        <v>0</v>
      </c>
      <c r="F381" s="89">
        <f t="shared" si="1"/>
        <v>1</v>
      </c>
      <c r="G381" s="90"/>
      <c r="H381" s="90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</row>
    <row r="382">
      <c r="A382" s="79"/>
      <c r="B382" s="88" t="s">
        <v>997</v>
      </c>
      <c r="C382" s="71" t="str">
        <f>IFERROR(VLOOKUP(B382 ,INVENTARIO!B394:C1000,2,0),"")</f>
        <v>Disco abrasivi para desbaste</v>
      </c>
      <c r="D382" s="71">
        <f>SUMIF(ENTRADAS!B:B,B382,ENTRADAS!D:D)</f>
        <v>7</v>
      </c>
      <c r="E382" s="71">
        <f>SUMIF(SALIDAS!B:B,B382,SALIDAS!D:D)</f>
        <v>1</v>
      </c>
      <c r="F382" s="89">
        <f t="shared" si="1"/>
        <v>6</v>
      </c>
      <c r="G382" s="90"/>
      <c r="H382" s="90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</row>
    <row r="383">
      <c r="A383" s="79"/>
      <c r="B383" s="88" t="s">
        <v>999</v>
      </c>
      <c r="C383" s="71" t="str">
        <f>IFERROR(VLOOKUP(B383 ,INVENTARIO!B395:C1000,2,0),"")</f>
        <v>discos flap 40</v>
      </c>
      <c r="D383" s="71">
        <f>SUMIF(ENTRADAS!B:B,B383,ENTRADAS!D:D)</f>
        <v>2</v>
      </c>
      <c r="E383" s="71">
        <f>SUMIF(SALIDAS!B:B,B383,SALIDAS!D:D)</f>
        <v>5</v>
      </c>
      <c r="F383" s="89">
        <f t="shared" si="1"/>
        <v>-3</v>
      </c>
      <c r="G383" s="90"/>
      <c r="H383" s="90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</row>
    <row r="384">
      <c r="A384" s="79"/>
      <c r="B384" s="88" t="s">
        <v>1001</v>
      </c>
      <c r="C384" s="71" t="str">
        <f>IFERROR(VLOOKUP(B384 ,INVENTARIO!B396:C1000,2,0),"")</f>
        <v>discos flap 60</v>
      </c>
      <c r="D384" s="71">
        <f>SUMIF(ENTRADAS!B:B,B384,ENTRADAS!D:D)</f>
        <v>9</v>
      </c>
      <c r="E384" s="71">
        <f>SUMIF(SALIDAS!B:B,B384,SALIDAS!D:D)</f>
        <v>2</v>
      </c>
      <c r="F384" s="89">
        <f t="shared" si="1"/>
        <v>7</v>
      </c>
      <c r="G384" s="90"/>
      <c r="H384" s="90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</row>
    <row r="385">
      <c r="A385" s="79"/>
      <c r="B385" s="88" t="s">
        <v>1003</v>
      </c>
      <c r="C385" s="71" t="str">
        <f>IFERROR(VLOOKUP(B385 ,INVENTARIO!B397:C1000,2,0),"")</f>
        <v>discos flap 120</v>
      </c>
      <c r="D385" s="71">
        <f>SUMIF(ENTRADAS!B:B,B385,ENTRADAS!D:D)</f>
        <v>10</v>
      </c>
      <c r="E385" s="71">
        <f>SUMIF(SALIDAS!B:B,B385,SALIDAS!D:D)</f>
        <v>4</v>
      </c>
      <c r="F385" s="89">
        <f t="shared" si="1"/>
        <v>6</v>
      </c>
      <c r="G385" s="90"/>
      <c r="H385" s="90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</row>
    <row r="386">
      <c r="A386" s="79"/>
      <c r="B386" s="88" t="s">
        <v>1005</v>
      </c>
      <c r="C386" s="71" t="str">
        <f>IFERROR(VLOOKUP(B386 ,INVENTARIO!B398:C1000,2,0),"")</f>
        <v>Disco de corte</v>
      </c>
      <c r="D386" s="71">
        <f>SUMIF(ENTRADAS!B:B,B386,ENTRADAS!D:D)</f>
        <v>80</v>
      </c>
      <c r="E386" s="71">
        <f>SUMIF(SALIDAS!B:B,B386,SALIDAS!D:D)</f>
        <v>10</v>
      </c>
      <c r="F386" s="89">
        <f t="shared" si="1"/>
        <v>70</v>
      </c>
      <c r="G386" s="90"/>
      <c r="H386" s="90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</row>
    <row r="387">
      <c r="A387" s="79"/>
      <c r="B387" s="88" t="s">
        <v>1007</v>
      </c>
      <c r="C387" s="71" t="str">
        <f>IFERROR(VLOOKUP(B387 ,INVENTARIO!B399:C1000,2,0),"")</f>
        <v>Cinta doble fast</v>
      </c>
      <c r="D387" s="71">
        <f>SUMIF(ENTRADAS!B:B,B387,ENTRADAS!D:D)</f>
        <v>3</v>
      </c>
      <c r="E387" s="71">
        <f>SUMIF(SALIDAS!B:B,B387,SALIDAS!D:D)</f>
        <v>0</v>
      </c>
      <c r="F387" s="89">
        <f t="shared" si="1"/>
        <v>3</v>
      </c>
      <c r="G387" s="90"/>
      <c r="H387" s="90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</row>
    <row r="388">
      <c r="A388" s="79"/>
      <c r="B388" s="88" t="s">
        <v>1011</v>
      </c>
      <c r="C388" s="71" t="str">
        <f>IFERROR(VLOOKUP(B388 ,INVENTARIO!B400:C1000,2,0),"")</f>
        <v>Tela esmeril para metales 60</v>
      </c>
      <c r="D388" s="71">
        <f>SUMIF(ENTRADAS!B:B,B388,ENTRADAS!D:D)</f>
        <v>10</v>
      </c>
      <c r="E388" s="71">
        <f>SUMIF(SALIDAS!B:B,B388,SALIDAS!D:D)</f>
        <v>0</v>
      </c>
      <c r="F388" s="89">
        <f t="shared" si="1"/>
        <v>10</v>
      </c>
      <c r="G388" s="90"/>
      <c r="H388" s="90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</row>
    <row r="389">
      <c r="A389" s="79"/>
      <c r="B389" s="88" t="s">
        <v>1013</v>
      </c>
      <c r="C389" s="71" t="str">
        <f>IFERROR(VLOOKUP(B389 ,INVENTARIO!B401:C1000,2,0),"")</f>
        <v>Tela esmeril para metales 80</v>
      </c>
      <c r="D389" s="71">
        <f>SUMIF(ENTRADAS!B:B,B389,ENTRADAS!D:D)</f>
        <v>9</v>
      </c>
      <c r="E389" s="71">
        <f>SUMIF(SALIDAS!B:B,B389,SALIDAS!D:D)</f>
        <v>0</v>
      </c>
      <c r="F389" s="89">
        <f t="shared" si="1"/>
        <v>9</v>
      </c>
      <c r="G389" s="90"/>
      <c r="H389" s="90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</row>
    <row r="390">
      <c r="A390" s="79"/>
      <c r="B390" s="88" t="s">
        <v>1015</v>
      </c>
      <c r="C390" s="71" t="str">
        <f>IFERROR(VLOOKUP(B390 ,INVENTARIO!B402:C1000,2,0),"")</f>
        <v>Tela esmeril para metales 120</v>
      </c>
      <c r="D390" s="71">
        <f>SUMIF(ENTRADAS!B:B,B390,ENTRADAS!D:D)</f>
        <v>7</v>
      </c>
      <c r="E390" s="71">
        <f>SUMIF(SALIDAS!B:B,B390,SALIDAS!D:D)</f>
        <v>0</v>
      </c>
      <c r="F390" s="89">
        <f t="shared" si="1"/>
        <v>7</v>
      </c>
      <c r="G390" s="90"/>
      <c r="H390" s="90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</row>
    <row r="391">
      <c r="A391" s="79"/>
      <c r="B391" s="88" t="s">
        <v>1017</v>
      </c>
      <c r="C391" s="71" t="str">
        <f>IFERROR(VLOOKUP(B391 ,INVENTARIO!B404:C1000,2,0),"")</f>
        <v>tela esmeril para metales 180</v>
      </c>
      <c r="D391" s="71">
        <f>SUMIF(ENTRADAS!B:B,B391,ENTRADAS!D:D)</f>
        <v>15</v>
      </c>
      <c r="E391" s="71">
        <f>SUMIF(SALIDAS!B:B,B391,SALIDAS!D:D)</f>
        <v>0</v>
      </c>
      <c r="F391" s="89">
        <f t="shared" si="1"/>
        <v>15</v>
      </c>
      <c r="G391" s="90"/>
      <c r="H391" s="90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</row>
    <row r="392">
      <c r="A392" s="79"/>
      <c r="B392" s="88" t="s">
        <v>1019</v>
      </c>
      <c r="C392" s="71" t="str">
        <f>IFERROR(VLOOKUP(B392 ,INVENTARIO!B406:C1000,2,0),"")</f>
        <v>Tela esmeril para metales 220</v>
      </c>
      <c r="D392" s="71">
        <f>SUMIF(ENTRADAS!B:B,B392,ENTRADAS!D:D)</f>
        <v>0</v>
      </c>
      <c r="E392" s="71">
        <f>SUMIF(SALIDAS!B:B,B392,SALIDAS!D:D)</f>
        <v>0</v>
      </c>
      <c r="F392" s="89">
        <f t="shared" si="1"/>
        <v>0</v>
      </c>
      <c r="G392" s="90"/>
      <c r="H392" s="90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</row>
    <row r="393">
      <c r="A393" s="79"/>
      <c r="B393" s="88" t="s">
        <v>1021</v>
      </c>
      <c r="C393" s="71" t="str">
        <f>IFERROR(VLOOKUP(B393 ,INVENTARIO!B408:C1000,2,0),"")</f>
        <v>Cepillo de acero alambre bronceado</v>
      </c>
      <c r="D393" s="71">
        <f>SUMIF(ENTRADAS!B:B,B393,ENTRADAS!D:D)</f>
        <v>2</v>
      </c>
      <c r="E393" s="71">
        <f>SUMIF(SALIDAS!B:B,B393,SALIDAS!D:D)</f>
        <v>0</v>
      </c>
      <c r="F393" s="89">
        <f t="shared" si="1"/>
        <v>2</v>
      </c>
      <c r="G393" s="90"/>
      <c r="H393" s="90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</row>
    <row r="394">
      <c r="A394" s="79"/>
      <c r="B394" s="88" t="s">
        <v>1024</v>
      </c>
      <c r="C394" s="71" t="str">
        <f>IFERROR(VLOOKUP(B394 ,INVENTARIO!B409:C1000,2,0),"")</f>
        <v>Cepillo de acero mini</v>
      </c>
      <c r="D394" s="71">
        <f>SUMIF(ENTRADAS!B:B,B394,ENTRADAS!D:D)</f>
        <v>2</v>
      </c>
      <c r="E394" s="71">
        <f>SUMIF(SALIDAS!B:B,B394,SALIDAS!D:D)</f>
        <v>0</v>
      </c>
      <c r="F394" s="89">
        <f t="shared" si="1"/>
        <v>2</v>
      </c>
      <c r="G394" s="90"/>
      <c r="H394" s="90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</row>
    <row r="395">
      <c r="A395" s="79"/>
      <c r="B395" s="88" t="s">
        <v>1026</v>
      </c>
      <c r="C395" s="71" t="str">
        <f>IFERROR(VLOOKUP(B395 ,INVENTARIO!B415:C1000,2,0),"")</f>
        <v>Cutter profesional</v>
      </c>
      <c r="D395" s="71">
        <f>SUMIF(ENTRADAS!B:B,B395,ENTRADAS!D:D)</f>
        <v>1</v>
      </c>
      <c r="E395" s="71">
        <f>SUMIF(SALIDAS!B:B,B395,SALIDAS!D:D)</f>
        <v>0</v>
      </c>
      <c r="F395" s="89">
        <f t="shared" si="1"/>
        <v>1</v>
      </c>
      <c r="G395" s="90"/>
      <c r="H395" s="90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</row>
    <row r="396">
      <c r="A396" s="79"/>
      <c r="B396" s="88" t="s">
        <v>1028</v>
      </c>
      <c r="C396" s="71" t="str">
        <f>IFERROR(VLOOKUP(B396 ,INVENTARIO!B416:C1000,2,0),"")</f>
        <v>Llave T 7mm</v>
      </c>
      <c r="D396" s="71">
        <f>SUMIF(ENTRADAS!B:B,B396,ENTRADAS!D:D)</f>
        <v>1</v>
      </c>
      <c r="E396" s="71">
        <f>SUMIF(SALIDAS!B:B,B396,SALIDAS!D:D)</f>
        <v>0</v>
      </c>
      <c r="F396" s="89">
        <f t="shared" si="1"/>
        <v>1</v>
      </c>
      <c r="G396" s="90"/>
      <c r="H396" s="90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</row>
    <row r="397">
      <c r="A397" s="79"/>
      <c r="B397" s="88" t="s">
        <v>1030</v>
      </c>
      <c r="C397" s="71" t="str">
        <f>IFERROR(VLOOKUP(B397 ,INVENTARIO!B418:C1000,2,0),"")</f>
        <v>Llave T 8mm</v>
      </c>
      <c r="D397" s="71">
        <f>SUMIF(ENTRADAS!B:B,B397,ENTRADAS!D:D)</f>
        <v>1</v>
      </c>
      <c r="E397" s="71">
        <f>SUMIF(SALIDAS!B:B,B397,SALIDAS!D:D)</f>
        <v>0</v>
      </c>
      <c r="F397" s="89">
        <f t="shared" si="1"/>
        <v>1</v>
      </c>
      <c r="G397" s="90"/>
      <c r="H397" s="90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</row>
    <row r="398">
      <c r="A398" s="79"/>
      <c r="B398" s="88" t="s">
        <v>1032</v>
      </c>
      <c r="C398" s="71" t="str">
        <f>IFERROR(VLOOKUP(B398 ,INVENTARIO!B425:C1000,2,0),"")</f>
        <v>Llave T 10mm</v>
      </c>
      <c r="D398" s="71">
        <f>SUMIF(ENTRADAS!B:B,B398,ENTRADAS!D:D)</f>
        <v>1</v>
      </c>
      <c r="E398" s="71">
        <f>SUMIF(SALIDAS!B:B,B398,SALIDAS!D:D)</f>
        <v>0</v>
      </c>
      <c r="F398" s="89">
        <f t="shared" si="1"/>
        <v>1</v>
      </c>
      <c r="G398" s="90"/>
      <c r="H398" s="90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</row>
    <row r="399">
      <c r="A399" s="79"/>
      <c r="B399" s="88" t="s">
        <v>1034</v>
      </c>
      <c r="C399" s="71" t="str">
        <f>IFERROR(VLOOKUP(B399 ,INVENTARIO!B426:C1000,2,0),"")</f>
        <v>Llave T 11mm</v>
      </c>
      <c r="D399" s="71">
        <f>SUMIF(ENTRADAS!B:B,B399,ENTRADAS!D:D)</f>
        <v>1</v>
      </c>
      <c r="E399" s="71">
        <f>SUMIF(SALIDAS!B:B,B399,SALIDAS!D:D)</f>
        <v>0</v>
      </c>
      <c r="F399" s="89">
        <f t="shared" si="1"/>
        <v>1</v>
      </c>
      <c r="G399" s="90"/>
      <c r="H399" s="90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</row>
    <row r="400">
      <c r="A400" s="79"/>
      <c r="B400" s="88" t="s">
        <v>1036</v>
      </c>
      <c r="C400" s="71" t="str">
        <f>IFERROR(VLOOKUP(B400 ,INVENTARIO!B434:C1000,2,0),"")</f>
        <v>Llave T 13mm</v>
      </c>
      <c r="D400" s="71">
        <f>SUMIF(ENTRADAS!B:B,B400,ENTRADAS!D:D)</f>
        <v>1</v>
      </c>
      <c r="E400" s="71">
        <f>SUMIF(SALIDAS!B:B,B400,SALIDAS!D:D)</f>
        <v>0</v>
      </c>
      <c r="F400" s="89">
        <f t="shared" si="1"/>
        <v>1</v>
      </c>
      <c r="G400" s="90"/>
      <c r="H400" s="90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</row>
    <row r="401">
      <c r="A401" s="79"/>
      <c r="B401" s="88" t="s">
        <v>1038</v>
      </c>
      <c r="C401" s="71" t="str">
        <f>IFERROR(VLOOKUP(B401 ,INVENTARIO!B439:C1000,2,0),"")</f>
        <v>Llave T 1/2mm</v>
      </c>
      <c r="D401" s="71">
        <f>SUMIF(ENTRADAS!B:B,B401,ENTRADAS!D:D)</f>
        <v>1</v>
      </c>
      <c r="E401" s="71">
        <f>SUMIF(SALIDAS!B:B,B401,SALIDAS!D:D)</f>
        <v>0</v>
      </c>
      <c r="F401" s="89">
        <f t="shared" si="1"/>
        <v>1</v>
      </c>
      <c r="G401" s="90"/>
      <c r="H401" s="90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</row>
    <row r="402">
      <c r="A402" s="79"/>
      <c r="B402" s="88" t="s">
        <v>1040</v>
      </c>
      <c r="C402" s="71" t="str">
        <f>IFERROR(VLOOKUP(B402 ,INVENTARIO!B442:C1000,2,0),"")</f>
        <v>Sondas milimetricas</v>
      </c>
      <c r="D402" s="71">
        <f>SUMIF(ENTRADAS!B:B,B402,ENTRADAS!D:D)</f>
        <v>1</v>
      </c>
      <c r="E402" s="71">
        <f>SUMIF(SALIDAS!B:B,B402,SALIDAS!D:D)</f>
        <v>0</v>
      </c>
      <c r="F402" s="89">
        <f t="shared" si="1"/>
        <v>1</v>
      </c>
      <c r="G402" s="90"/>
      <c r="H402" s="90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</row>
    <row r="403">
      <c r="A403" s="79"/>
      <c r="B403" s="88" t="s">
        <v>1042</v>
      </c>
      <c r="C403" s="71" t="str">
        <f>IFERROR(VLOOKUP(B403 ,INVENTARIO!B443:C1000,2,0),"")</f>
        <v>Pinza de presion perro curva</v>
      </c>
      <c r="D403" s="71">
        <f>SUMIF(ENTRADAS!B:B,B403,ENTRADAS!D:D)</f>
        <v>1</v>
      </c>
      <c r="E403" s="71">
        <f>SUMIF(SALIDAS!B:B,B403,SALIDAS!D:D)</f>
        <v>0</v>
      </c>
      <c r="F403" s="89">
        <f t="shared" si="1"/>
        <v>1</v>
      </c>
      <c r="G403" s="90"/>
      <c r="H403" s="90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</row>
    <row r="404">
      <c r="A404" s="79"/>
      <c r="B404" s="88" t="s">
        <v>1044</v>
      </c>
      <c r="C404" s="71" t="str">
        <f>IFERROR(VLOOKUP(B404 ,INVENTARIO!B444:C1000,2,0),"")</f>
        <v>Pinza de precion tipo C soldador</v>
      </c>
      <c r="D404" s="71">
        <f>SUMIF(ENTRADAS!B:B,B404,ENTRADAS!D:D)</f>
        <v>0</v>
      </c>
      <c r="E404" s="71">
        <f>SUMIF(SALIDAS!B:B,B404,SALIDAS!D:D)</f>
        <v>0</v>
      </c>
      <c r="F404" s="89">
        <f t="shared" si="1"/>
        <v>0</v>
      </c>
      <c r="G404" s="90"/>
      <c r="H404" s="90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</row>
    <row r="405">
      <c r="A405" s="79"/>
      <c r="B405" s="88" t="s">
        <v>1046</v>
      </c>
      <c r="C405" s="71" t="str">
        <f>IFERROR(VLOOKUP(B405 ,INVENTARIO!B445:C1000,2,0),"")</f>
        <v>cinta aisladora negra rollo grande</v>
      </c>
      <c r="D405" s="71">
        <f>SUMIF(ENTRADAS!B:B,B405,ENTRADAS!D:D)</f>
        <v>5</v>
      </c>
      <c r="E405" s="71">
        <f>SUMIF(SALIDAS!B:B,B405,SALIDAS!D:D)</f>
        <v>0</v>
      </c>
      <c r="F405" s="89">
        <f t="shared" si="1"/>
        <v>5</v>
      </c>
      <c r="G405" s="90"/>
      <c r="H405" s="90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</row>
    <row r="406">
      <c r="A406" s="79"/>
      <c r="B406" s="88" t="s">
        <v>1049</v>
      </c>
      <c r="C406" s="71" t="str">
        <f>IFERROR(VLOOKUP(B406 ,INVENTARIO!B446:C1000,2,0),"")</f>
        <v>rollo ancho</v>
      </c>
      <c r="D406" s="71">
        <f>SUMIF(ENTRADAS!B:B,B406,ENTRADAS!D:D)</f>
        <v>2</v>
      </c>
      <c r="E406" s="71">
        <f>SUMIF(SALIDAS!B:B,B406,SALIDAS!D:D)</f>
        <v>1</v>
      </c>
      <c r="F406" s="89">
        <f t="shared" si="1"/>
        <v>1</v>
      </c>
      <c r="G406" s="90"/>
      <c r="H406" s="90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</row>
    <row r="407">
      <c r="A407" s="79"/>
      <c r="B407" s="88" t="s">
        <v>1051</v>
      </c>
      <c r="C407" s="71" t="str">
        <f>IFERROR(VLOOKUP(B407 ,INVENTARIO!B447:C1000,2,0),"")</f>
        <v>rollo ancho</v>
      </c>
      <c r="D407" s="71">
        <f>SUMIF(ENTRADAS!B:B,B407,ENTRADAS!D:D)</f>
        <v>1</v>
      </c>
      <c r="E407" s="71">
        <f>SUMIF(SALIDAS!B:B,B407,SALIDAS!D:D)</f>
        <v>0</v>
      </c>
      <c r="F407" s="89">
        <f t="shared" si="1"/>
        <v>1</v>
      </c>
      <c r="G407" s="90"/>
      <c r="H407" s="90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</row>
    <row r="408">
      <c r="A408" s="79"/>
      <c r="B408" s="88" t="s">
        <v>1052</v>
      </c>
      <c r="C408" s="71" t="str">
        <f>IFERROR(VLOOKUP(B408 ,INVENTARIO!B448:C1000,2,0),"")</f>
        <v>pilas doble A</v>
      </c>
      <c r="D408" s="71">
        <f>SUMIF(ENTRADAS!B:B,B408,ENTRADAS!D:D)</f>
        <v>7</v>
      </c>
      <c r="E408" s="71">
        <f>SUMIF(SALIDAS!B:B,B408,SALIDAS!D:D)</f>
        <v>0</v>
      </c>
      <c r="F408" s="89">
        <f t="shared" si="1"/>
        <v>7</v>
      </c>
      <c r="G408" s="90"/>
      <c r="H408" s="90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</row>
    <row r="409">
      <c r="A409" s="79"/>
      <c r="B409" s="88" t="s">
        <v>1054</v>
      </c>
      <c r="C409" s="71" t="str">
        <f>IFERROR(VLOOKUP(B409 ,INVENTARIO!B449:C1000,2,0),"")</f>
        <v>pilas triple A</v>
      </c>
      <c r="D409" s="71">
        <f>SUMIF(ENTRADAS!B:B,B409,ENTRADAS!D:D)</f>
        <v>12</v>
      </c>
      <c r="E409" s="71">
        <f>SUMIF(SALIDAS!B:B,B409,SALIDAS!D:D)</f>
        <v>0</v>
      </c>
      <c r="F409" s="89">
        <f t="shared" si="1"/>
        <v>12</v>
      </c>
      <c r="G409" s="90"/>
      <c r="H409" s="90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</row>
    <row r="410">
      <c r="A410" s="79"/>
      <c r="B410" s="88" t="s">
        <v>1056</v>
      </c>
      <c r="C410" s="71" t="str">
        <f>IFERROR(VLOOKUP(B410 ,INVENTARIO!B450:C1000,2,0),"")</f>
        <v>pila de 9v</v>
      </c>
      <c r="D410" s="71">
        <f>SUMIF(ENTRADAS!B:B,B410,ENTRADAS!D:D)</f>
        <v>2</v>
      </c>
      <c r="E410" s="71">
        <f>SUMIF(SALIDAS!B:B,B410,SALIDAS!D:D)</f>
        <v>0</v>
      </c>
      <c r="F410" s="89">
        <f t="shared" si="1"/>
        <v>2</v>
      </c>
      <c r="G410" s="90"/>
      <c r="H410" s="90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</row>
    <row r="411">
      <c r="A411" s="79"/>
      <c r="B411" s="88" t="s">
        <v>1058</v>
      </c>
      <c r="C411" s="71" t="str">
        <f>IFERROR(VLOOKUP(B411 ,INVENTARIO!B451:C1000,2,0),"")</f>
        <v>pilas cr2032 -3v</v>
      </c>
      <c r="D411" s="71">
        <f>SUMIF(ENTRADAS!B:B,B411,ENTRADAS!D:D)</f>
        <v>5</v>
      </c>
      <c r="E411" s="71">
        <f>SUMIF(SALIDAS!B:B,B411,SALIDAS!D:D)</f>
        <v>0</v>
      </c>
      <c r="F411" s="89">
        <f t="shared" si="1"/>
        <v>5</v>
      </c>
      <c r="G411" s="90"/>
      <c r="H411" s="90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</row>
    <row r="412">
      <c r="A412" s="79"/>
      <c r="B412" s="88" t="s">
        <v>1061</v>
      </c>
      <c r="C412" s="71" t="str">
        <f>IFERROR(VLOOKUP(B412 ,INVENTARIO!B452:C1000,2,0),"")</f>
        <v>pilas cr1220 -3v</v>
      </c>
      <c r="D412" s="71">
        <f>SUMIF(ENTRADAS!B:B,B412,ENTRADAS!D:D)</f>
        <v>2</v>
      </c>
      <c r="E412" s="71">
        <f>SUMIF(SALIDAS!B:B,B412,SALIDAS!D:D)</f>
        <v>0</v>
      </c>
      <c r="F412" s="89">
        <f t="shared" si="1"/>
        <v>2</v>
      </c>
      <c r="G412" s="90"/>
      <c r="H412" s="90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</row>
    <row r="413">
      <c r="A413" s="79"/>
      <c r="B413" s="88" t="s">
        <v>1063</v>
      </c>
      <c r="C413" s="71" t="str">
        <f>IFERROR(VLOOKUP(B413 ,INVENTARIO!B453:C1000,2,0),"")</f>
        <v>pilas a76</v>
      </c>
      <c r="D413" s="71">
        <f>SUMIF(ENTRADAS!B:B,B413,ENTRADAS!D:D)</f>
        <v>1</v>
      </c>
      <c r="E413" s="71">
        <f>SUMIF(SALIDAS!B:B,B413,SALIDAS!D:D)</f>
        <v>0</v>
      </c>
      <c r="F413" s="89">
        <f t="shared" si="1"/>
        <v>1</v>
      </c>
      <c r="G413" s="90"/>
      <c r="H413" s="90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</row>
    <row r="414">
      <c r="A414" s="79"/>
      <c r="B414" s="88" t="s">
        <v>1066</v>
      </c>
      <c r="C414" s="71" t="str">
        <f>IFERROR(VLOOKUP(B414 ,INVENTARIO!B454:C1000,2,0),"")</f>
        <v>precintos de 100/2.5</v>
      </c>
      <c r="D414" s="71">
        <f>SUMIF(ENTRADAS!B:B,B414,ENTRADAS!D:D)</f>
        <v>3</v>
      </c>
      <c r="E414" s="71">
        <f>SUMIF(SALIDAS!B:B,B414,SALIDAS!D:D)</f>
        <v>0</v>
      </c>
      <c r="F414" s="89">
        <f t="shared" si="1"/>
        <v>3</v>
      </c>
      <c r="G414" s="90"/>
      <c r="H414" s="90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</row>
    <row r="415">
      <c r="A415" s="79"/>
      <c r="B415" s="88" t="s">
        <v>1068</v>
      </c>
      <c r="C415" s="71" t="str">
        <f>IFERROR(VLOOKUP(B415 ,INVENTARIO!B455:C1000,2,0),"")</f>
        <v>precintos de 150x3.6</v>
      </c>
      <c r="D415" s="71">
        <f>SUMIF(ENTRADAS!B:B,B415,ENTRADAS!D:D)</f>
        <v>1</v>
      </c>
      <c r="E415" s="71">
        <f>SUMIF(SALIDAS!B:B,B415,SALIDAS!D:D)</f>
        <v>0</v>
      </c>
      <c r="F415" s="89">
        <f t="shared" si="1"/>
        <v>1</v>
      </c>
      <c r="G415" s="90"/>
      <c r="H415" s="90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</row>
    <row r="416">
      <c r="A416" s="79"/>
      <c r="B416" s="88" t="s">
        <v>1070</v>
      </c>
      <c r="C416" s="71" t="str">
        <f>IFERROR(VLOOKUP(B416 ,INVENTARIO!B456:C1000,2,0),"")</f>
        <v>precintos de 180/3,2</v>
      </c>
      <c r="D416" s="71">
        <f>SUMIF(ENTRADAS!B:B,B416,ENTRADAS!D:D)</f>
        <v>0</v>
      </c>
      <c r="E416" s="71">
        <f>SUMIF(SALIDAS!B:B,B416,SALIDAS!D:D)</f>
        <v>0</v>
      </c>
      <c r="F416" s="89">
        <f t="shared" si="1"/>
        <v>0</v>
      </c>
      <c r="G416" s="90"/>
      <c r="H416" s="90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</row>
    <row r="417">
      <c r="A417" s="79"/>
      <c r="B417" s="88" t="s">
        <v>1072</v>
      </c>
      <c r="C417" s="71" t="str">
        <f>IFERROR(VLOOKUP(B417 ,INVENTARIO!B457:C1000,2,0),"")</f>
        <v>precintos de 200x4,6</v>
      </c>
      <c r="D417" s="71">
        <f>SUMIF(ENTRADAS!B:B,B417,ENTRADAS!D:D)</f>
        <v>0</v>
      </c>
      <c r="E417" s="71">
        <f>SUMIF(SALIDAS!B:B,B417,SALIDAS!D:D)</f>
        <v>0</v>
      </c>
      <c r="F417" s="89">
        <f t="shared" si="1"/>
        <v>0</v>
      </c>
      <c r="G417" s="90"/>
      <c r="H417" s="90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</row>
    <row r="418">
      <c r="A418" s="79"/>
      <c r="B418" s="88" t="s">
        <v>1074</v>
      </c>
      <c r="C418" s="71" t="str">
        <f>IFERROR(VLOOKUP(B418 ,INVENTARIO!B458:C1000,2,0),"")</f>
        <v>precintos de 290x4,8</v>
      </c>
      <c r="D418" s="71">
        <f>SUMIF(ENTRADAS!B:B,B418,ENTRADAS!D:D)</f>
        <v>1</v>
      </c>
      <c r="E418" s="71">
        <f>SUMIF(SALIDAS!B:B,B418,SALIDAS!D:D)</f>
        <v>0</v>
      </c>
      <c r="F418" s="89">
        <f t="shared" si="1"/>
        <v>1</v>
      </c>
      <c r="G418" s="90"/>
      <c r="H418" s="90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</row>
    <row r="419">
      <c r="A419" s="79"/>
      <c r="B419" s="88" t="s">
        <v>1076</v>
      </c>
      <c r="C419" s="71" t="str">
        <f>IFERROR(VLOOKUP(B419 ,INVENTARIO!B459:C1000,2,0),"")</f>
        <v>precintos de 300/4,8</v>
      </c>
      <c r="D419" s="71">
        <f>SUMIF(ENTRADAS!B:B,B419,ENTRADAS!D:D)</f>
        <v>0</v>
      </c>
      <c r="E419" s="71">
        <f>SUMIF(SALIDAS!B:B,B419,SALIDAS!D:D)</f>
        <v>1</v>
      </c>
      <c r="F419" s="89">
        <f t="shared" si="1"/>
        <v>-1</v>
      </c>
      <c r="G419" s="90"/>
      <c r="H419" s="90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</row>
    <row r="420">
      <c r="A420" s="79"/>
      <c r="B420" s="88" t="s">
        <v>1078</v>
      </c>
      <c r="C420" s="71" t="str">
        <f>IFERROR(VLOOKUP(B420 ,INVENTARIO!B460:C1000,2,0),"")</f>
        <v>precintos de 370/4,8</v>
      </c>
      <c r="D420" s="71">
        <f>SUMIF(ENTRADAS!B:B,B420,ENTRADAS!D:D)</f>
        <v>1</v>
      </c>
      <c r="E420" s="71">
        <f>SUMIF(SALIDAS!B:B,B420,SALIDAS!D:D)</f>
        <v>0</v>
      </c>
      <c r="F420" s="89">
        <f t="shared" si="1"/>
        <v>1</v>
      </c>
      <c r="G420" s="90"/>
      <c r="H420" s="90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</row>
    <row r="421">
      <c r="A421" s="79"/>
      <c r="B421" s="88" t="s">
        <v>1080</v>
      </c>
      <c r="C421" s="71" t="str">
        <f>IFERROR(VLOOKUP(B421 ,INVENTARIO!B461:C1000,2,0),"")</f>
        <v>precintos de 250/ 4,8</v>
      </c>
      <c r="D421" s="71">
        <f>SUMIF(ENTRADAS!B:B,B421,ENTRADAS!D:D)</f>
        <v>1</v>
      </c>
      <c r="E421" s="71">
        <f>SUMIF(SALIDAS!B:B,B421,SALIDAS!D:D)</f>
        <v>0</v>
      </c>
      <c r="F421" s="89">
        <f t="shared" si="1"/>
        <v>1</v>
      </c>
      <c r="G421" s="90"/>
      <c r="H421" s="90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</row>
    <row r="422">
      <c r="A422" s="79"/>
      <c r="B422" s="88" t="s">
        <v>1082</v>
      </c>
      <c r="C422" s="71" t="str">
        <f>IFERROR(VLOOKUP(B422 ,INVENTARIO!B462:C1000,2,0),"")</f>
        <v>largos</v>
      </c>
      <c r="D422" s="71">
        <f>SUMIF(ENTRADAS!B:B,B422,ENTRADAS!D:D)</f>
        <v>2</v>
      </c>
      <c r="E422" s="71">
        <f>SUMIF(SALIDAS!B:B,B422,SALIDAS!D:D)</f>
        <v>0</v>
      </c>
      <c r="F422" s="89">
        <f t="shared" si="1"/>
        <v>2</v>
      </c>
      <c r="G422" s="90"/>
      <c r="H422" s="90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</row>
    <row r="423">
      <c r="A423" s="79"/>
      <c r="B423" s="88" t="s">
        <v>1084</v>
      </c>
      <c r="C423" s="71" t="str">
        <f>IFERROR(VLOOKUP(B423 ,INVENTARIO!B463:C1000,2,0),"")</f>
        <v/>
      </c>
      <c r="D423" s="71">
        <f>SUMIF(ENTRADAS!B:B,B423,ENTRADAS!D:D)</f>
        <v>1</v>
      </c>
      <c r="E423" s="71">
        <f>SUMIF(SALIDAS!B:B,B423,SALIDAS!D:D)</f>
        <v>0</v>
      </c>
      <c r="F423" s="89">
        <f t="shared" si="1"/>
        <v>1</v>
      </c>
      <c r="G423" s="90"/>
      <c r="H423" s="90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</row>
    <row r="424">
      <c r="A424" s="79"/>
      <c r="B424" s="88" t="s">
        <v>1085</v>
      </c>
      <c r="C424" s="71" t="str">
        <f>IFERROR(VLOOKUP(B424 ,INVENTARIO!B464:C1000,2,0),"")</f>
        <v>Cinta p/ persiana plastica</v>
      </c>
      <c r="D424" s="71">
        <f>SUMIF(ENTRADAS!B:B,B424,ENTRADAS!D:D)</f>
        <v>1.65</v>
      </c>
      <c r="E424" s="71">
        <f>SUMIF(SALIDAS!B:B,B424,SALIDAS!D:D)</f>
        <v>0</v>
      </c>
      <c r="F424" s="89">
        <f t="shared" si="1"/>
        <v>1.65</v>
      </c>
      <c r="G424" s="90"/>
      <c r="H424" s="90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</row>
    <row r="425">
      <c r="A425" s="79"/>
      <c r="B425" s="88" t="s">
        <v>1088</v>
      </c>
      <c r="C425" s="71" t="str">
        <f>IFERROR(VLOOKUP(B425 ,INVENTARIO!B465:C1000,2,0),"")</f>
        <v>adhesivo instantaneo suprabond</v>
      </c>
      <c r="D425" s="71">
        <f>SUMIF(ENTRADAS!B:B,B425,ENTRADAS!D:D)</f>
        <v>1</v>
      </c>
      <c r="E425" s="71">
        <f>SUMIF(SALIDAS!B:B,B425,SALIDAS!D:D)</f>
        <v>0</v>
      </c>
      <c r="F425" s="89">
        <f t="shared" si="1"/>
        <v>1</v>
      </c>
      <c r="G425" s="90"/>
      <c r="H425" s="90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</row>
    <row r="426">
      <c r="A426" s="79"/>
      <c r="B426" s="88" t="s">
        <v>1090</v>
      </c>
      <c r="C426" s="71" t="str">
        <f>IFERROR(VLOOKUP(B426 ,INVENTARIO!B466:C1000,2,0),"")</f>
        <v>superpox acero</v>
      </c>
      <c r="D426" s="71">
        <f>SUMIF(ENTRADAS!B:B,B426,ENTRADAS!D:D)</f>
        <v>1</v>
      </c>
      <c r="E426" s="71">
        <f>SUMIF(SALIDAS!B:B,B426,SALIDAS!D:D)</f>
        <v>0</v>
      </c>
      <c r="F426" s="89">
        <f t="shared" si="1"/>
        <v>1</v>
      </c>
      <c r="G426" s="90"/>
      <c r="H426" s="90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</row>
    <row r="427">
      <c r="A427" s="79"/>
      <c r="B427" s="88" t="s">
        <v>1092</v>
      </c>
      <c r="C427" s="71" t="str">
        <f>IFERROR(VLOOKUP(B427 ,INVENTARIO!B467:C1000,2,0),"")</f>
        <v>grande</v>
      </c>
      <c r="D427" s="71">
        <f>SUMIF(ENTRADAS!B:B,B427,ENTRADAS!D:D)</f>
        <v>1</v>
      </c>
      <c r="E427" s="71">
        <f>SUMIF(SALIDAS!B:B,B427,SALIDAS!D:D)</f>
        <v>0</v>
      </c>
      <c r="F427" s="89">
        <f t="shared" si="1"/>
        <v>1</v>
      </c>
      <c r="G427" s="90"/>
      <c r="H427" s="90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</row>
    <row r="428">
      <c r="A428" s="79"/>
      <c r="B428" s="88" t="s">
        <v>1097</v>
      </c>
      <c r="C428" s="71" t="str">
        <f>IFERROR(VLOOKUP(B428 ,INVENTARIO!B468:C1000,2,0),"")</f>
        <v>Casiba 301 SP (filtro de aire intermedio)</v>
      </c>
      <c r="D428" s="71">
        <f>SUMIF(ENTRADAS!B:B,B428,ENTRADAS!D:D)</f>
        <v>0</v>
      </c>
      <c r="E428" s="71">
        <f>SUMIF(SALIDAS!B:B,B428,SALIDAS!D:D)</f>
        <v>0</v>
      </c>
      <c r="F428" s="89">
        <f t="shared" si="1"/>
        <v>0</v>
      </c>
      <c r="G428" s="90"/>
      <c r="H428" s="90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</row>
    <row r="429">
      <c r="A429" s="79"/>
      <c r="B429" s="88" t="s">
        <v>1102</v>
      </c>
      <c r="C429" s="71" t="str">
        <f>IFERROR(VLOOKUP(B429 ,INVENTARIO!B469:C1000,2,0),"")</f>
        <v>Casiba PC-8 (filtro de aire final)</v>
      </c>
      <c r="D429" s="71">
        <f>SUMIF(ENTRADAS!B:B,B429,ENTRADAS!D:D)</f>
        <v>0</v>
      </c>
      <c r="E429" s="71">
        <f>SUMIF(SALIDAS!B:B,B429,SALIDAS!D:D)</f>
        <v>0</v>
      </c>
      <c r="F429" s="89">
        <f t="shared" si="1"/>
        <v>0</v>
      </c>
      <c r="G429" s="90"/>
      <c r="H429" s="90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</row>
    <row r="430">
      <c r="A430" s="79"/>
      <c r="B430" s="88" t="s">
        <v>1104</v>
      </c>
      <c r="C430" s="71" t="str">
        <f>IFERROR(VLOOKUP(B430 ,INVENTARIO!B470:C1000,2,0),"")</f>
        <v>Sierras de rebanadora (por juego)</v>
      </c>
      <c r="D430" s="71">
        <f>SUMIF(ENTRADAS!B:B,B430,ENTRADAS!D:D)</f>
        <v>2</v>
      </c>
      <c r="E430" s="71">
        <f>SUMIF(SALIDAS!B:B,B430,SALIDAS!D:D)</f>
        <v>0</v>
      </c>
      <c r="F430" s="89">
        <f t="shared" si="1"/>
        <v>2</v>
      </c>
      <c r="G430" s="90"/>
      <c r="H430" s="90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</row>
    <row r="431">
      <c r="A431" s="79"/>
      <c r="B431" s="88" t="s">
        <v>1916</v>
      </c>
      <c r="C431" s="71" t="str">
        <f>IFERROR(VLOOKUP(B431 ,INVENTARIO!B471:C1000,2,0),"")</f>
        <v/>
      </c>
      <c r="D431" s="71">
        <f>SUMIF(ENTRADAS!B:B,B431,ENTRADAS!D:D)</f>
        <v>1</v>
      </c>
      <c r="E431" s="71">
        <f>SUMIF(SALIDAS!B:B,B431,SALIDAS!D:D)</f>
        <v>0</v>
      </c>
      <c r="F431" s="89">
        <f t="shared" si="1"/>
        <v>1</v>
      </c>
      <c r="G431" s="90"/>
      <c r="H431" s="90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</row>
    <row r="432">
      <c r="A432" s="79"/>
      <c r="B432" s="88" t="s">
        <v>1112</v>
      </c>
      <c r="C432" s="71" t="str">
        <f>IFERROR(VLOOKUP(B432 ,INVENTARIO!B472:C1000,2,0),"")</f>
        <v>Martillo goma y plastico</v>
      </c>
      <c r="D432" s="71">
        <f>SUMIF(ENTRADAS!B:B,B432,ENTRADAS!D:D)</f>
        <v>1</v>
      </c>
      <c r="E432" s="71">
        <f>SUMIF(SALIDAS!B:B,B432,SALIDAS!D:D)</f>
        <v>0</v>
      </c>
      <c r="F432" s="89">
        <f t="shared" si="1"/>
        <v>1</v>
      </c>
      <c r="G432" s="90"/>
      <c r="H432" s="90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</row>
    <row r="433">
      <c r="A433" s="79"/>
      <c r="B433" s="88" t="s">
        <v>1114</v>
      </c>
      <c r="C433" s="71" t="str">
        <f>IFERROR(VLOOKUP(B433 ,INVENTARIO!B473:C1000,2,0),"")</f>
        <v>Resistencias traversales</v>
      </c>
      <c r="D433" s="71">
        <f>SUMIF(ENTRADAS!B:B,B433,ENTRADAS!D:D)</f>
        <v>0</v>
      </c>
      <c r="E433" s="71">
        <f>SUMIF(SALIDAS!B:B,B433,SALIDAS!D:D)</f>
        <v>0</v>
      </c>
      <c r="F433" s="89">
        <f t="shared" si="1"/>
        <v>0</v>
      </c>
      <c r="G433" s="90"/>
      <c r="H433" s="90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</row>
    <row r="434">
      <c r="A434" s="79"/>
      <c r="B434" s="88" t="s">
        <v>1117</v>
      </c>
      <c r="C434" s="71" t="str">
        <f>IFERROR(VLOOKUP(B434 ,INVENTARIO!B474:C1000,2,0),"")</f>
        <v>Tapa discos celladores</v>
      </c>
      <c r="D434" s="71">
        <f>SUMIF(ENTRADAS!B:B,B434,ENTRADAS!D:D)</f>
        <v>2</v>
      </c>
      <c r="E434" s="71">
        <f>SUMIF(SALIDAS!B:B,B434,SALIDAS!D:D)</f>
        <v>0</v>
      </c>
      <c r="F434" s="89">
        <f t="shared" si="1"/>
        <v>2</v>
      </c>
      <c r="G434" s="90"/>
      <c r="H434" s="90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</row>
    <row r="435">
      <c r="A435" s="79"/>
      <c r="B435" s="88" t="s">
        <v>1119</v>
      </c>
      <c r="C435" s="71" t="str">
        <f>IFERROR(VLOOKUP(B435 ,INVENTARIO!B475:C1000,2,0),"")</f>
        <v>Acoples de encoder</v>
      </c>
      <c r="D435" s="71">
        <f>SUMIF(ENTRADAS!B:B,B435,ENTRADAS!D:D)</f>
        <v>7</v>
      </c>
      <c r="E435" s="71">
        <f>SUMIF(SALIDAS!B:B,B435,SALIDAS!D:D)</f>
        <v>0</v>
      </c>
      <c r="F435" s="89">
        <f t="shared" si="1"/>
        <v>7</v>
      </c>
      <c r="G435" s="90"/>
      <c r="H435" s="90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</row>
    <row r="436">
      <c r="A436" s="79"/>
      <c r="B436" s="88" t="s">
        <v>1121</v>
      </c>
      <c r="C436" s="71" t="str">
        <f>IFERROR(VLOOKUP(B436 ,INVENTARIO!B476:C1000,2,0),"")</f>
        <v>3x2,5mm tipo taller</v>
      </c>
      <c r="D436" s="71">
        <f>SUMIF(ENTRADAS!B:B,B436,ENTRADAS!D:D)</f>
        <v>2</v>
      </c>
      <c r="E436" s="71">
        <f>SUMIF(SALIDAS!B:B,B436,SALIDAS!D:D)</f>
        <v>0</v>
      </c>
      <c r="F436" s="89">
        <f t="shared" si="1"/>
        <v>2</v>
      </c>
      <c r="G436" s="90"/>
      <c r="H436" s="90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</row>
    <row r="437">
      <c r="A437" s="79"/>
      <c r="B437" s="88" t="s">
        <v>1123</v>
      </c>
      <c r="C437" s="71" t="str">
        <f>IFERROR(VLOOKUP(B437 ,INVENTARIO!B477:C1000,2,0),"")</f>
        <v>2x1,5mm tipo taller</v>
      </c>
      <c r="D437" s="71">
        <f>SUMIF(ENTRADAS!B:B,B437,ENTRADAS!D:D)</f>
        <v>0</v>
      </c>
      <c r="E437" s="71">
        <f>SUMIF(SALIDAS!B:B,B437,SALIDAS!D:D)</f>
        <v>0</v>
      </c>
      <c r="F437" s="89">
        <f t="shared" si="1"/>
        <v>0</v>
      </c>
      <c r="G437" s="90"/>
      <c r="H437" s="90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</row>
    <row r="438">
      <c r="A438" s="79"/>
      <c r="B438" s="88" t="s">
        <v>1125</v>
      </c>
      <c r="C438" s="71" t="str">
        <f>IFERROR(VLOOKUP(B438 ,INVENTARIO!B478:C1000,2,0),"")</f>
        <v>5x2,5mm tipo taller</v>
      </c>
      <c r="D438" s="71">
        <f>SUMIF(ENTRADAS!B:B,B438,ENTRADAS!D:D)</f>
        <v>0</v>
      </c>
      <c r="E438" s="71">
        <f>SUMIF(SALIDAS!B:B,B438,SALIDAS!D:D)</f>
        <v>0</v>
      </c>
      <c r="F438" s="89">
        <f t="shared" si="1"/>
        <v>0</v>
      </c>
      <c r="G438" s="90"/>
      <c r="H438" s="90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</row>
    <row r="439">
      <c r="A439" s="79"/>
      <c r="B439" s="88" t="s">
        <v>1127</v>
      </c>
      <c r="C439" s="71" t="str">
        <f>IFERROR(VLOOKUP(B439 ,INVENTARIO!B479:C1000,2,0),"")</f>
        <v>5x4mm tipo taller</v>
      </c>
      <c r="D439" s="71">
        <f>SUMIF(ENTRADAS!B:B,B439,ENTRADAS!D:D)</f>
        <v>80</v>
      </c>
      <c r="E439" s="71">
        <f>SUMIF(SALIDAS!B:B,B439,SALIDAS!D:D)</f>
        <v>0</v>
      </c>
      <c r="F439" s="89">
        <f t="shared" si="1"/>
        <v>80</v>
      </c>
      <c r="G439" s="90"/>
      <c r="H439" s="90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</row>
    <row r="440">
      <c r="A440" s="79"/>
      <c r="B440" s="88" t="s">
        <v>1129</v>
      </c>
      <c r="C440" s="71" t="str">
        <f>IFERROR(VLOOKUP(B440 ,INVENTARIO!B480:C1000,2,0),"")</f>
        <v>retenedor de puertas de camion</v>
      </c>
      <c r="D440" s="71">
        <f>SUMIF(ENTRADAS!B:B,B440,ENTRADAS!D:D)</f>
        <v>1</v>
      </c>
      <c r="E440" s="71">
        <f>SUMIF(SALIDAS!B:B,B440,SALIDAS!D:D)</f>
        <v>0</v>
      </c>
      <c r="F440" s="89">
        <f t="shared" si="1"/>
        <v>1</v>
      </c>
      <c r="G440" s="90"/>
      <c r="H440" s="90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</row>
    <row r="441">
      <c r="A441" s="79"/>
      <c r="B441" s="88" t="s">
        <v>1134</v>
      </c>
      <c r="C441" s="71" t="str">
        <f>IFERROR(VLOOKUP(B441 ,INVENTARIO!B481:C1000,2,0),"")</f>
        <v>protector transparente </v>
      </c>
      <c r="D441" s="71">
        <f>SUMIF(ENTRADAS!B:B,B441,ENTRADAS!D:D)</f>
        <v>3</v>
      </c>
      <c r="E441" s="71">
        <f>SUMIF(SALIDAS!B:B,B441,SALIDAS!D:D)</f>
        <v>0</v>
      </c>
      <c r="F441" s="89">
        <f t="shared" si="1"/>
        <v>3</v>
      </c>
      <c r="G441" s="90"/>
      <c r="H441" s="90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</row>
    <row r="442">
      <c r="A442" s="79"/>
      <c r="B442" s="88" t="s">
        <v>1137</v>
      </c>
      <c r="C442" s="71" t="str">
        <f>IFERROR(VLOOKUP(B442 ,INVENTARIO!B482:C1000,2,0),"")</f>
        <v>MH18C406B</v>
      </c>
      <c r="D442" s="71">
        <f>SUMIF(ENTRADAS!B:B,B442,ENTRADAS!D:D)</f>
        <v>3</v>
      </c>
      <c r="E442" s="71">
        <f>SUMIF(SALIDAS!B:B,B442,SALIDAS!D:D)</f>
        <v>0</v>
      </c>
      <c r="F442" s="89">
        <f t="shared" si="1"/>
        <v>3</v>
      </c>
      <c r="G442" s="90"/>
      <c r="H442" s="90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</row>
    <row r="443">
      <c r="A443" s="79"/>
      <c r="B443" s="88" t="s">
        <v>1142</v>
      </c>
      <c r="C443" s="71" t="str">
        <f>IFERROR(VLOOKUP(B443 ,INVENTARIO!B483:C1000,2,0),"")</f>
        <v>VAL-SEGURID-1.5</v>
      </c>
      <c r="D443" s="71">
        <f>SUMIF(ENTRADAS!B:B,B443,ENTRADAS!D:D)</f>
        <v>2</v>
      </c>
      <c r="E443" s="71">
        <f>SUMIF(SALIDAS!B:B,B443,SALIDAS!D:D)</f>
        <v>0</v>
      </c>
      <c r="F443" s="89">
        <f t="shared" si="1"/>
        <v>2</v>
      </c>
      <c r="G443" s="90"/>
      <c r="H443" s="90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</row>
    <row r="444">
      <c r="A444" s="79"/>
      <c r="B444" s="88" t="s">
        <v>1145</v>
      </c>
      <c r="C444" s="71" t="str">
        <f>IFERROR(VLOOKUP(B444 ,INVENTARIO!B484:C1000,2,0),"")</f>
        <v>val-segur-13kg./cm</v>
      </c>
      <c r="D444" s="71">
        <f>SUMIF(ENTRADAS!B:B,B444,ENTRADAS!D:D)</f>
        <v>1</v>
      </c>
      <c r="E444" s="71">
        <f>SUMIF(SALIDAS!B:B,B444,SALIDAS!D:D)</f>
        <v>0</v>
      </c>
      <c r="F444" s="89">
        <f t="shared" si="1"/>
        <v>1</v>
      </c>
      <c r="G444" s="90"/>
      <c r="H444" s="90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</row>
    <row r="445">
      <c r="A445" s="79"/>
      <c r="B445" s="88" t="s">
        <v>1148</v>
      </c>
      <c r="C445" s="71" t="str">
        <f>IFERROR(VLOOKUP(B445 ,INVENTARIO!B485:C1000,2,0),"")</f>
        <v>val-segur-9.5kg./cm</v>
      </c>
      <c r="D445" s="71">
        <f>SUMIF(ENTRADAS!B:B,B445,ENTRADAS!D:D)</f>
        <v>1</v>
      </c>
      <c r="E445" s="71">
        <f>SUMIF(SALIDAS!B:B,B445,SALIDAS!D:D)</f>
        <v>0</v>
      </c>
      <c r="F445" s="89">
        <f t="shared" si="1"/>
        <v>1</v>
      </c>
      <c r="G445" s="90"/>
      <c r="H445" s="90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</row>
    <row r="446">
      <c r="A446" s="79"/>
      <c r="B446" s="88" t="s">
        <v>1151</v>
      </c>
      <c r="C446" s="71" t="str">
        <f>IFERROR(VLOOKUP(B446 ,INVENTARIO!B486:C1000,2,0),"")</f>
        <v>val-segur 11kg</v>
      </c>
      <c r="D446" s="71">
        <f>SUMIF(ENTRADAS!B:B,B446,ENTRADAS!D:D)</f>
        <v>0</v>
      </c>
      <c r="E446" s="71">
        <f>SUMIF(SALIDAS!B:B,B446,SALIDAS!D:D)</f>
        <v>0</v>
      </c>
      <c r="F446" s="89">
        <f t="shared" si="1"/>
        <v>0</v>
      </c>
      <c r="G446" s="90"/>
      <c r="H446" s="90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</row>
    <row r="447">
      <c r="A447" s="79"/>
      <c r="B447" s="88" t="s">
        <v>1154</v>
      </c>
      <c r="C447" s="71" t="str">
        <f>IFERROR(VLOOKUP(B447 ,INVENTARIO!B487:C1000,2,0),"")</f>
        <v>VAL-ESFERICA-3/4</v>
      </c>
      <c r="D447" s="71">
        <f>SUMIF(ENTRADAS!B:B,B447,ENTRADAS!D:D)</f>
        <v>0</v>
      </c>
      <c r="E447" s="71">
        <f>SUMIF(SALIDAS!B:B,B447,SALIDAS!D:D)</f>
        <v>0</v>
      </c>
      <c r="F447" s="89">
        <f t="shared" si="1"/>
        <v>0</v>
      </c>
      <c r="G447" s="90"/>
      <c r="H447" s="90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</row>
    <row r="448">
      <c r="A448" s="79"/>
      <c r="B448" s="88" t="s">
        <v>1157</v>
      </c>
      <c r="C448" s="71" t="str">
        <f>IFERROR(VLOOKUP(B448 ,INVENTARIO!B488:C1000,2,0),"")</f>
        <v>TERMODINAMICA</v>
      </c>
      <c r="D448" s="71">
        <f>SUMIF(ENTRADAS!B:B,B448,ENTRADAS!D:D)</f>
        <v>2</v>
      </c>
      <c r="E448" s="71">
        <f>SUMIF(SALIDAS!B:B,B448,SALIDAS!D:D)</f>
        <v>0</v>
      </c>
      <c r="F448" s="89">
        <f t="shared" si="1"/>
        <v>2</v>
      </c>
      <c r="G448" s="90"/>
      <c r="H448" s="90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</row>
    <row r="449">
      <c r="A449" s="79"/>
      <c r="B449" s="88" t="s">
        <v>1159</v>
      </c>
      <c r="C449" s="71" t="str">
        <f>IFERROR(VLOOKUP(B449 ,INVENTARIO!B489:C1000,2,0),"")</f>
        <v>ACOPLE-T 3/4</v>
      </c>
      <c r="D449" s="71">
        <f>SUMIF(ENTRADAS!B:B,B449,ENTRADAS!D:D)</f>
        <v>1</v>
      </c>
      <c r="E449" s="71">
        <f>SUMIF(SALIDAS!B:B,B449,SALIDAS!D:D)</f>
        <v>0</v>
      </c>
      <c r="F449" s="89">
        <f t="shared" si="1"/>
        <v>1</v>
      </c>
      <c r="G449" s="90"/>
      <c r="H449" s="90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</row>
    <row r="450">
      <c r="A450" s="79"/>
      <c r="B450" s="88" t="s">
        <v>1162</v>
      </c>
      <c r="C450" s="71" t="str">
        <f>IFERROR(VLOOKUP(B450 ,INVENTARIO!B490:C1000,2,0),"")</f>
        <v>DE 1" A 3/4</v>
      </c>
      <c r="D450" s="71">
        <f>SUMIF(ENTRADAS!B:B,B450,ENTRADAS!D:D)</f>
        <v>2</v>
      </c>
      <c r="E450" s="71">
        <f>SUMIF(SALIDAS!B:B,B450,SALIDAS!D:D)</f>
        <v>0</v>
      </c>
      <c r="F450" s="89">
        <f t="shared" si="1"/>
        <v>2</v>
      </c>
      <c r="G450" s="90"/>
      <c r="H450" s="90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</row>
    <row r="451">
      <c r="A451" s="79"/>
      <c r="B451" s="88" t="s">
        <v>1164</v>
      </c>
      <c r="C451" s="71" t="str">
        <f>IFERROR(VLOOKUP(B451 ,INVENTARIO!B490:C1000,2,0),"")</f>
        <v>250/125VCA-3A</v>
      </c>
      <c r="D451" s="71">
        <f>SUMIF(ENTRADAS!B:B,B451,ENTRADAS!D:D)</f>
        <v>1</v>
      </c>
      <c r="E451" s="71">
        <f>SUMIF(SALIDAS!B:B,B451,SALIDAS!D:D)</f>
        <v>0</v>
      </c>
      <c r="F451" s="89">
        <f t="shared" si="1"/>
        <v>1</v>
      </c>
      <c r="G451" s="90"/>
      <c r="H451" s="90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</row>
    <row r="452">
      <c r="A452" s="79"/>
      <c r="B452" s="88" t="s">
        <v>1167</v>
      </c>
      <c r="C452" s="71" t="str">
        <f>IFERROR(VLOOKUP(B452 ,INVENTARIO!B491:C1000,2,0),"")</f>
        <v>DC13=12W.220V</v>
      </c>
      <c r="D452" s="71">
        <f>SUMIF(ENTRADAS!B:B,B452,ENTRADAS!D:D)</f>
        <v>3</v>
      </c>
      <c r="E452" s="71">
        <f>SUMIF(SALIDAS!B:B,B452,SALIDAS!D:D)</f>
        <v>0</v>
      </c>
      <c r="F452" s="89">
        <f t="shared" si="1"/>
        <v>3</v>
      </c>
      <c r="G452" s="90"/>
      <c r="H452" s="90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</row>
    <row r="453">
      <c r="A453" s="79"/>
      <c r="B453" s="88" t="s">
        <v>1170</v>
      </c>
      <c r="C453" s="71" t="str">
        <f>IFERROR(VLOOKUP(B453 ,INVENTARIO!B492:C1000,2,0),"")</f>
        <v>250/125VCA-3A</v>
      </c>
      <c r="D453" s="71">
        <f>SUMIF(ENTRADAS!B:B,B453,ENTRADAS!D:D)</f>
        <v>1</v>
      </c>
      <c r="E453" s="71">
        <f>SUMIF(SALIDAS!B:B,B453,SALIDAS!D:D)</f>
        <v>0</v>
      </c>
      <c r="F453" s="89">
        <f t="shared" si="1"/>
        <v>1</v>
      </c>
      <c r="G453" s="90"/>
      <c r="H453" s="90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</row>
    <row r="454">
      <c r="A454" s="79"/>
      <c r="B454" s="88" t="s">
        <v>1175</v>
      </c>
      <c r="C454" s="71" t="str">
        <f>IFERROR(VLOOKUP(B454 ,INVENTARIO!B493:C1000,2,0),"")</f>
        <v>SENSOR DE LLAMA</v>
      </c>
      <c r="D454" s="71">
        <f>SUMIF(ENTRADAS!B:B,B454,ENTRADAS!D:D)</f>
        <v>3</v>
      </c>
      <c r="E454" s="71">
        <f>SUMIF(SALIDAS!B:B,B454,SALIDAS!D:D)</f>
        <v>0</v>
      </c>
      <c r="F454" s="89">
        <f t="shared" si="1"/>
        <v>3</v>
      </c>
      <c r="G454" s="90"/>
      <c r="H454" s="90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</row>
    <row r="455">
      <c r="A455" s="79"/>
      <c r="B455" s="88" t="s">
        <v>1182</v>
      </c>
      <c r="C455" s="71" t="str">
        <f>IFERROR(VLOOKUP(B455 ,INVENTARIO!B494:C1000,2,0),"")</f>
        <v>SENSOR DE CHISPA</v>
      </c>
      <c r="D455" s="71">
        <f>SUMIF(ENTRADAS!B:B,B455,ENTRADAS!D:D)</f>
        <v>3</v>
      </c>
      <c r="E455" s="71">
        <f>SUMIF(SALIDAS!B:B,B455,SALIDAS!D:D)</f>
        <v>0</v>
      </c>
      <c r="F455" s="89">
        <f t="shared" si="1"/>
        <v>3</v>
      </c>
      <c r="G455" s="90"/>
      <c r="H455" s="90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</row>
    <row r="456">
      <c r="A456" s="79"/>
      <c r="B456" s="88" t="s">
        <v>1185</v>
      </c>
      <c r="C456" s="71" t="str">
        <f>IFERROR(VLOOKUP(B456 ,INVENTARIO!B495:C1000,2,0),"")</f>
        <v>capacitor</v>
      </c>
      <c r="D456" s="71">
        <f>SUMIF(ENTRADAS!B:B,B456,ENTRADAS!D:D)</f>
        <v>2</v>
      </c>
      <c r="E456" s="71">
        <f>SUMIF(SALIDAS!B:B,B456,SALIDAS!D:D)</f>
        <v>0</v>
      </c>
      <c r="F456" s="89">
        <f t="shared" si="1"/>
        <v>2</v>
      </c>
      <c r="G456" s="90"/>
      <c r="H456" s="90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</row>
    <row r="457">
      <c r="A457" s="79"/>
      <c r="B457" s="88" t="s">
        <v>1187</v>
      </c>
      <c r="C457" s="71" t="str">
        <f>IFERROR(VLOOKUP(B457 ,INVENTARIO!B496:C1000,2,0),"")</f>
        <v>capacitor</v>
      </c>
      <c r="D457" s="71">
        <f>SUMIF(ENTRADAS!B:B,B457,ENTRADAS!D:D)</f>
        <v>3</v>
      </c>
      <c r="E457" s="71">
        <f>SUMIF(SALIDAS!B:B,B457,SALIDAS!D:D)</f>
        <v>0</v>
      </c>
      <c r="F457" s="89">
        <f t="shared" si="1"/>
        <v>3</v>
      </c>
      <c r="G457" s="90"/>
      <c r="H457" s="90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</row>
    <row r="458">
      <c r="A458" s="79"/>
      <c r="B458" s="88" t="s">
        <v>1188</v>
      </c>
      <c r="C458" s="71" t="str">
        <f>IFERROR(VLOOKUP(B458 ,INVENTARIO!B497:C1000,2,0),"")</f>
        <v>capacitor</v>
      </c>
      <c r="D458" s="71">
        <f>SUMIF(ENTRADAS!B:B,B458,ENTRADAS!D:D)</f>
        <v>3</v>
      </c>
      <c r="E458" s="71">
        <f>SUMIF(SALIDAS!B:B,B458,SALIDAS!D:D)</f>
        <v>0</v>
      </c>
      <c r="F458" s="89">
        <f t="shared" si="1"/>
        <v>3</v>
      </c>
      <c r="G458" s="90"/>
      <c r="H458" s="90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</row>
    <row r="459">
      <c r="A459" s="79"/>
      <c r="B459" s="88" t="s">
        <v>1189</v>
      </c>
      <c r="C459" s="71" t="str">
        <f>IFERROR(VLOOKUP(B459 ,INVENTARIO!B498:C1000,2,0),"")</f>
        <v>capacitor</v>
      </c>
      <c r="D459" s="71">
        <f>SUMIF(ENTRADAS!B:B,B459,ENTRADAS!D:D)</f>
        <v>1</v>
      </c>
      <c r="E459" s="71">
        <f>SUMIF(SALIDAS!B:B,B459,SALIDAS!D:D)</f>
        <v>0</v>
      </c>
      <c r="F459" s="89">
        <f t="shared" si="1"/>
        <v>1</v>
      </c>
      <c r="G459" s="90"/>
      <c r="H459" s="90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</row>
    <row r="460">
      <c r="A460" s="79"/>
      <c r="B460" s="88" t="s">
        <v>1190</v>
      </c>
      <c r="C460" s="71" t="str">
        <f>IFERROR(VLOOKUP(B460 ,INVENTARIO!B499:C1000,2,0),"")</f>
        <v>capacitor</v>
      </c>
      <c r="D460" s="71">
        <f>SUMIF(ENTRADAS!B:B,B460,ENTRADAS!D:D)</f>
        <v>1</v>
      </c>
      <c r="E460" s="71">
        <f>SUMIF(SALIDAS!B:B,B460,SALIDAS!D:D)</f>
        <v>0</v>
      </c>
      <c r="F460" s="89">
        <f t="shared" si="1"/>
        <v>1</v>
      </c>
      <c r="G460" s="90"/>
      <c r="H460" s="90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</row>
    <row r="461">
      <c r="A461" s="79"/>
      <c r="B461" s="88" t="s">
        <v>1917</v>
      </c>
      <c r="C461" s="71" t="str">
        <f>IFERROR(VLOOKUP(B461 ,INVENTARIO!B500:C1000,2,0),"")</f>
        <v/>
      </c>
      <c r="D461" s="71">
        <f>SUMIF(ENTRADAS!B:B,B461,ENTRADAS!D:D)</f>
        <v>2</v>
      </c>
      <c r="E461" s="71">
        <f>SUMIF(SALIDAS!B:B,B461,SALIDAS!D:D)</f>
        <v>0</v>
      </c>
      <c r="F461" s="89">
        <f t="shared" si="1"/>
        <v>2</v>
      </c>
      <c r="G461" s="90"/>
      <c r="H461" s="90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</row>
    <row r="462">
      <c r="A462" s="79"/>
      <c r="B462" s="88" t="s">
        <v>1918</v>
      </c>
      <c r="C462" s="71" t="str">
        <f>IFERROR(VLOOKUP(B462 ,INVENTARIO!B501:C1000,2,0),"")</f>
        <v/>
      </c>
      <c r="D462" s="71">
        <f>SUMIF(ENTRADAS!B:B,B462,ENTRADAS!D:D)</f>
        <v>1</v>
      </c>
      <c r="E462" s="71">
        <f>SUMIF(SALIDAS!B:B,B462,SALIDAS!D:D)</f>
        <v>0</v>
      </c>
      <c r="F462" s="89">
        <f t="shared" si="1"/>
        <v>1</v>
      </c>
      <c r="G462" s="90"/>
      <c r="H462" s="90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</row>
    <row r="463">
      <c r="A463" s="79"/>
      <c r="B463" s="88" t="s">
        <v>1199</v>
      </c>
      <c r="C463" s="71" t="str">
        <f>IFERROR(VLOOKUP(B463 ,INVENTARIO!B502:C1000,2,0),"")</f>
        <v/>
      </c>
      <c r="D463" s="71">
        <f>SUMIF(ENTRADAS!B:B,B463,ENTRADAS!D:D)</f>
        <v>0</v>
      </c>
      <c r="E463" s="71">
        <f>SUMIF(SALIDAS!B:B,B463,SALIDAS!D:D)</f>
        <v>0</v>
      </c>
      <c r="F463" s="89">
        <f t="shared" si="1"/>
        <v>0</v>
      </c>
      <c r="G463" s="90"/>
      <c r="H463" s="90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</row>
    <row r="464">
      <c r="A464" s="79"/>
      <c r="B464" s="88" t="s">
        <v>1200</v>
      </c>
      <c r="C464" s="71" t="str">
        <f>IFERROR(VLOOKUP(B464 ,INVENTARIO!B503:C1000,2,0),"")</f>
        <v/>
      </c>
      <c r="D464" s="71">
        <f>SUMIF(ENTRADAS!B:B,B464,ENTRADAS!D:D)</f>
        <v>0</v>
      </c>
      <c r="E464" s="71">
        <f>SUMIF(SALIDAS!B:B,B464,SALIDAS!D:D)</f>
        <v>0</v>
      </c>
      <c r="F464" s="89">
        <f t="shared" si="1"/>
        <v>0</v>
      </c>
      <c r="G464" s="90"/>
      <c r="H464" s="90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</row>
    <row r="465">
      <c r="A465" s="79"/>
      <c r="B465" s="88" t="s">
        <v>1201</v>
      </c>
      <c r="C465" s="71" t="str">
        <f>IFERROR(VLOOKUP(B465 ,INVENTARIO!B504:C1000,2,0),"")</f>
        <v/>
      </c>
      <c r="D465" s="71">
        <f>SUMIF(ENTRADAS!B:B,B465,ENTRADAS!D:D)</f>
        <v>0</v>
      </c>
      <c r="E465" s="71">
        <f>SUMIF(SALIDAS!B:B,B465,SALIDAS!D:D)</f>
        <v>0</v>
      </c>
      <c r="F465" s="89">
        <f t="shared" si="1"/>
        <v>0</v>
      </c>
      <c r="G465" s="90"/>
      <c r="H465" s="90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</row>
    <row r="466">
      <c r="A466" s="79"/>
      <c r="B466" s="88" t="s">
        <v>1206</v>
      </c>
      <c r="C466" s="71" t="str">
        <f>IFERROR(VLOOKUP(B466 ,INVENTARIO!B505:C1000,2,0),"")</f>
        <v>interrup-posicion</v>
      </c>
      <c r="D466" s="71">
        <f>SUMIF(ENTRADAS!B:B,B466,ENTRADAS!D:D)</f>
        <v>2</v>
      </c>
      <c r="E466" s="71">
        <f>SUMIF(SALIDAS!B:B,B466,SALIDAS!D:D)</f>
        <v>0</v>
      </c>
      <c r="F466" s="89">
        <f t="shared" si="1"/>
        <v>2</v>
      </c>
      <c r="G466" s="90"/>
      <c r="H466" s="90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</row>
    <row r="467">
      <c r="A467" s="79"/>
      <c r="B467" s="88" t="s">
        <v>1209</v>
      </c>
      <c r="C467" s="71" t="str">
        <f>IFERROR(VLOOKUP(B467 ,INVENTARIO!B506:C1000,2,0),"")</f>
        <v>interrup-posicion</v>
      </c>
      <c r="D467" s="71">
        <f>SUMIF(ENTRADAS!B:B,B467,ENTRADAS!D:D)</f>
        <v>0</v>
      </c>
      <c r="E467" s="71">
        <f>SUMIF(SALIDAS!B:B,B467,SALIDAS!D:D)</f>
        <v>0</v>
      </c>
      <c r="F467" s="89">
        <f t="shared" si="1"/>
        <v>0</v>
      </c>
      <c r="G467" s="90"/>
      <c r="H467" s="90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</row>
    <row r="468">
      <c r="A468" s="79"/>
      <c r="B468" s="88" t="s">
        <v>1210</v>
      </c>
      <c r="C468" s="71" t="str">
        <f>IFERROR(VLOOKUP(B468 ,INVENTARIO!B507:C1000,2,0),"")</f>
        <v>interrup-posicion</v>
      </c>
      <c r="D468" s="71">
        <f>SUMIF(ENTRADAS!B:B,B468,ENTRADAS!D:D)</f>
        <v>4</v>
      </c>
      <c r="E468" s="71">
        <f>SUMIF(SALIDAS!B:B,B468,SALIDAS!D:D)</f>
        <v>0</v>
      </c>
      <c r="F468" s="89">
        <f t="shared" si="1"/>
        <v>4</v>
      </c>
      <c r="G468" s="90"/>
      <c r="H468" s="90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</row>
    <row r="469">
      <c r="A469" s="79"/>
      <c r="B469" s="88" t="s">
        <v>1212</v>
      </c>
      <c r="C469" s="71" t="str">
        <f>IFERROR(VLOOKUP(B469 ,INVENTARIO!B508:C1000,2,0),"")</f>
        <v>SENSOR fotoelectrico</v>
      </c>
      <c r="D469" s="71">
        <f>SUMIF(ENTRADAS!B:B,B469,ENTRADAS!D:D)</f>
        <v>1</v>
      </c>
      <c r="E469" s="71">
        <f>SUMIF(SALIDAS!B:B,B469,SALIDAS!D:D)</f>
        <v>0</v>
      </c>
      <c r="F469" s="89">
        <f t="shared" si="1"/>
        <v>1</v>
      </c>
      <c r="G469" s="90"/>
      <c r="H469" s="90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</row>
    <row r="470">
      <c r="A470" s="79"/>
      <c r="B470" s="88" t="s">
        <v>1215</v>
      </c>
      <c r="C470" s="71" t="str">
        <f>IFERROR(VLOOKUP(B470 ,INVENTARIO!B509:C1000,2,0),"")</f>
        <v>trafo-220-110volt.</v>
      </c>
      <c r="D470" s="71">
        <f>SUMIF(ENTRADAS!B:B,B470,ENTRADAS!D:D)</f>
        <v>2</v>
      </c>
      <c r="E470" s="71">
        <f>SUMIF(SALIDAS!B:B,B470,SALIDAS!D:D)</f>
        <v>0</v>
      </c>
      <c r="F470" s="89">
        <f t="shared" si="1"/>
        <v>2</v>
      </c>
      <c r="G470" s="90"/>
      <c r="H470" s="90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</row>
    <row r="471">
      <c r="A471" s="79"/>
      <c r="B471" s="88" t="s">
        <v>1218</v>
      </c>
      <c r="C471" s="71" t="str">
        <f>IFERROR(VLOOKUP(B471 ,INVENTARIO!B510:C1000,2,0),"")</f>
        <v>tranformador d 220v a 24v</v>
      </c>
      <c r="D471" s="71">
        <f>SUMIF(ENTRADAS!B:B,B471,ENTRADAS!D:D)</f>
        <v>2</v>
      </c>
      <c r="E471" s="71">
        <f>SUMIF(SALIDAS!B:B,B471,SALIDAS!D:D)</f>
        <v>0</v>
      </c>
      <c r="F471" s="89">
        <f t="shared" si="1"/>
        <v>2</v>
      </c>
      <c r="G471" s="90"/>
      <c r="H471" s="90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</row>
    <row r="472">
      <c r="A472" s="79"/>
      <c r="B472" s="88" t="s">
        <v>1919</v>
      </c>
      <c r="C472" s="71" t="str">
        <f>IFERROR(VLOOKUP(B472 ,INVENTARIO!B511:C1000,2,0),"")</f>
        <v/>
      </c>
      <c r="D472" s="71">
        <f>SUMIF(ENTRADAS!B:B,B472,ENTRADAS!D:D)</f>
        <v>0</v>
      </c>
      <c r="E472" s="71">
        <f>SUMIF(SALIDAS!B:B,B472,SALIDAS!D:D)</f>
        <v>0</v>
      </c>
      <c r="F472" s="89">
        <f t="shared" si="1"/>
        <v>0</v>
      </c>
      <c r="G472" s="90"/>
      <c r="H472" s="90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</row>
    <row r="473">
      <c r="A473" s="79"/>
      <c r="B473" s="88" t="s">
        <v>1223</v>
      </c>
      <c r="C473" s="71" t="str">
        <f>IFERROR(VLOOKUP(B473 ,INVENTARIO!B512:C1000,2,0),"")</f>
        <v>termica bipolar</v>
      </c>
      <c r="D473" s="71">
        <f>SUMIF(ENTRADAS!B:B,B473,ENTRADAS!D:D)</f>
        <v>2</v>
      </c>
      <c r="E473" s="71">
        <f>SUMIF(SALIDAS!B:B,B473,SALIDAS!D:D)</f>
        <v>0</v>
      </c>
      <c r="F473" s="89">
        <f t="shared" si="1"/>
        <v>2</v>
      </c>
      <c r="G473" s="90"/>
      <c r="H473" s="90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</row>
    <row r="474">
      <c r="A474" s="79"/>
      <c r="B474" s="88" t="s">
        <v>1226</v>
      </c>
      <c r="C474" s="71" t="str">
        <f>IFERROR(VLOOKUP(B474 ,INVENTARIO!B513:C1000,2,0),"")</f>
        <v>termicas bipolar</v>
      </c>
      <c r="D474" s="71">
        <f>SUMIF(ENTRADAS!B:B,B474,ENTRADAS!D:D)</f>
        <v>1</v>
      </c>
      <c r="E474" s="71">
        <f>SUMIF(SALIDAS!B:B,B474,SALIDAS!D:D)</f>
        <v>0</v>
      </c>
      <c r="F474" s="89">
        <f t="shared" si="1"/>
        <v>1</v>
      </c>
      <c r="G474" s="90"/>
      <c r="H474" s="90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</row>
    <row r="475">
      <c r="A475" s="79"/>
      <c r="B475" s="88" t="s">
        <v>1228</v>
      </c>
      <c r="C475" s="71" t="str">
        <f>IFERROR(VLOOKUP(B475 ,INVENTARIO!B514:C1000,2,0),"")</f>
        <v>termica unipolar</v>
      </c>
      <c r="D475" s="71">
        <f>SUMIF(ENTRADAS!B:B,B475,ENTRADAS!D:D)</f>
        <v>6</v>
      </c>
      <c r="E475" s="71">
        <f>SUMIF(SALIDAS!B:B,B475,SALIDAS!D:D)</f>
        <v>0</v>
      </c>
      <c r="F475" s="89">
        <f t="shared" si="1"/>
        <v>6</v>
      </c>
      <c r="G475" s="90"/>
      <c r="H475" s="90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</row>
    <row r="476">
      <c r="A476" s="79"/>
      <c r="B476" s="88" t="s">
        <v>1230</v>
      </c>
      <c r="C476" s="71" t="str">
        <f>IFERROR(VLOOKUP(B476 ,INVENTARIO!B515:C1000,2,0),"")</f>
        <v>termica 230v-C10 -P32</v>
      </c>
      <c r="D476" s="71">
        <f>SUMIF(ENTRADAS!B:B,B476,ENTRADAS!D:D)</f>
        <v>1</v>
      </c>
      <c r="E476" s="71">
        <f>SUMIF(SALIDAS!B:B,B476,SALIDAS!D:D)</f>
        <v>0</v>
      </c>
      <c r="F476" s="89">
        <f t="shared" si="1"/>
        <v>1</v>
      </c>
      <c r="G476" s="90"/>
      <c r="H476" s="90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</row>
    <row r="477">
      <c r="A477" s="79"/>
      <c r="B477" s="88" t="s">
        <v>1232</v>
      </c>
      <c r="C477" s="71" t="str">
        <f>IFERROR(VLOOKUP(B477 ,INVENTARIO!B516:C1000,2,0),"")</f>
        <v>llave termica trifasica con neutro</v>
      </c>
      <c r="D477" s="71">
        <f>SUMIF(ENTRADAS!B:B,B477,ENTRADAS!D:D)</f>
        <v>1</v>
      </c>
      <c r="E477" s="71">
        <f>SUMIF(SALIDAS!B:B,B477,SALIDAS!D:D)</f>
        <v>0</v>
      </c>
      <c r="F477" s="89">
        <f t="shared" si="1"/>
        <v>1</v>
      </c>
      <c r="G477" s="90"/>
      <c r="H477" s="90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</row>
    <row r="478">
      <c r="A478" s="79"/>
      <c r="B478" s="88" t="s">
        <v>1234</v>
      </c>
      <c r="C478" s="71" t="str">
        <f>IFERROR(VLOOKUP(B478 ,INVENTARIO!B517:C1000,2,0),"")</f>
        <v>llave termica trifasica con neutro</v>
      </c>
      <c r="D478" s="71">
        <f>SUMIF(ENTRADAS!B:B,B478,ENTRADAS!D:D)</f>
        <v>1</v>
      </c>
      <c r="E478" s="71">
        <f>SUMIF(SALIDAS!B:B,B478,SALIDAS!D:D)</f>
        <v>0</v>
      </c>
      <c r="F478" s="89">
        <f t="shared" si="1"/>
        <v>1</v>
      </c>
      <c r="G478" s="90"/>
      <c r="H478" s="90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</row>
    <row r="479">
      <c r="A479" s="79"/>
      <c r="B479" s="88" t="s">
        <v>1235</v>
      </c>
      <c r="C479" s="71" t="str">
        <f>IFERROR(VLOOKUP(B479 ,INVENTARIO!B518:C1000,2,0),"")</f>
        <v>llave termica trifasica</v>
      </c>
      <c r="D479" s="71">
        <f>SUMIF(ENTRADAS!B:B,B479,ENTRADAS!D:D)</f>
        <v>1</v>
      </c>
      <c r="E479" s="71">
        <f>SUMIF(SALIDAS!B:B,B479,SALIDAS!D:D)</f>
        <v>0</v>
      </c>
      <c r="F479" s="89">
        <f t="shared" si="1"/>
        <v>1</v>
      </c>
      <c r="G479" s="90"/>
      <c r="H479" s="90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</row>
    <row r="480">
      <c r="A480" s="79"/>
      <c r="B480" s="88" t="s">
        <v>1237</v>
      </c>
      <c r="C480" s="71" t="str">
        <f>IFERROR(VLOOKUP(B480 ,INVENTARIO!B519:C1000,2,0),"")</f>
        <v>llave termica trifasica con neutro</v>
      </c>
      <c r="D480" s="71">
        <f>SUMIF(ENTRADAS!B:B,B480,ENTRADAS!D:D)</f>
        <v>1</v>
      </c>
      <c r="E480" s="71">
        <f>SUMIF(SALIDAS!B:B,B480,SALIDAS!D:D)</f>
        <v>0</v>
      </c>
      <c r="F480" s="89">
        <f t="shared" si="1"/>
        <v>1</v>
      </c>
      <c r="G480" s="90"/>
      <c r="H480" s="90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</row>
    <row r="481">
      <c r="A481" s="79"/>
      <c r="B481" s="88" t="s">
        <v>1238</v>
      </c>
      <c r="C481" s="71" t="str">
        <f>IFERROR(VLOOKUP(B481 ,INVENTARIO!B520:C1000,2,0),"")</f>
        <v>tapas octogonal chica</v>
      </c>
      <c r="D481" s="71">
        <f>SUMIF(ENTRADAS!B:B,B481,ENTRADAS!D:D)</f>
        <v>5</v>
      </c>
      <c r="E481" s="71">
        <f>SUMIF(SALIDAS!B:B,B481,SALIDAS!D:D)</f>
        <v>0</v>
      </c>
      <c r="F481" s="89">
        <f t="shared" si="1"/>
        <v>5</v>
      </c>
      <c r="G481" s="90"/>
      <c r="H481" s="90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</row>
    <row r="482">
      <c r="A482" s="79"/>
      <c r="B482" s="88" t="s">
        <v>1240</v>
      </c>
      <c r="C482" s="71" t="str">
        <f>IFERROR(VLOOKUP(B482 ,INVENTARIO!B521:C1000,2,0),"")</f>
        <v>relevo termico de 28 a 36</v>
      </c>
      <c r="D482" s="71">
        <f>SUMIF(ENTRADAS!B:B,B482,ENTRADAS!D:D)</f>
        <v>1</v>
      </c>
      <c r="E482" s="71">
        <f>SUMIF(SALIDAS!B:B,B482,SALIDAS!D:D)</f>
        <v>0</v>
      </c>
      <c r="F482" s="89">
        <f t="shared" si="1"/>
        <v>1</v>
      </c>
      <c r="G482" s="90"/>
      <c r="H482" s="90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</row>
    <row r="483">
      <c r="A483" s="79"/>
      <c r="B483" s="88" t="s">
        <v>1242</v>
      </c>
      <c r="C483" s="71" t="str">
        <f>IFERROR(VLOOKUP(B483 ,INVENTARIO!B522:C1000,2,0),"")</f>
        <v>relevo termico de 28 a 40</v>
      </c>
      <c r="D483" s="71">
        <f>SUMIF(ENTRADAS!B:B,B483,ENTRADAS!D:D)</f>
        <v>1</v>
      </c>
      <c r="E483" s="71">
        <f>SUMIF(SALIDAS!B:B,B483,SALIDAS!D:D)</f>
        <v>0</v>
      </c>
      <c r="F483" s="89">
        <f t="shared" si="1"/>
        <v>1</v>
      </c>
      <c r="G483" s="90"/>
      <c r="H483" s="90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</row>
    <row r="484">
      <c r="A484" s="79"/>
      <c r="B484" s="88" t="s">
        <v>1244</v>
      </c>
      <c r="C484" s="71" t="str">
        <f>IFERROR(VLOOKUP(B484 ,INVENTARIO!B523:C1000,2,0),"")</f>
        <v>relevo termico de 4,2 a 6,2</v>
      </c>
      <c r="D484" s="71">
        <f>SUMIF(ENTRADAS!B:B,B484,ENTRADAS!D:D)</f>
        <v>0</v>
      </c>
      <c r="E484" s="71">
        <f>SUMIF(SALIDAS!B:B,B484,SALIDAS!D:D)</f>
        <v>0</v>
      </c>
      <c r="F484" s="89">
        <f t="shared" si="1"/>
        <v>0</v>
      </c>
      <c r="G484" s="90"/>
      <c r="H484" s="90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</row>
    <row r="485">
      <c r="A485" s="79"/>
      <c r="B485" s="88" t="s">
        <v>1246</v>
      </c>
      <c r="C485" s="71" t="str">
        <f>IFERROR(VLOOKUP(B485 ,INVENTARIO!B524:C1000,2,0),"")</f>
        <v>relevo termico de 1,3 a 1,8</v>
      </c>
      <c r="D485" s="71">
        <f>SUMIF(ENTRADAS!B:B,B485,ENTRADAS!D:D)</f>
        <v>0</v>
      </c>
      <c r="E485" s="71">
        <f>SUMIF(SALIDAS!B:B,B485,SALIDAS!D:D)</f>
        <v>0</v>
      </c>
      <c r="F485" s="89">
        <f t="shared" si="1"/>
        <v>0</v>
      </c>
      <c r="G485" s="90"/>
      <c r="H485" s="90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</row>
    <row r="486">
      <c r="A486" s="79"/>
      <c r="B486" s="88" t="s">
        <v>1249</v>
      </c>
      <c r="C486" s="71" t="str">
        <f>IFERROR(VLOOKUP(B486 ,INVENTARIO!B526:C1000,2,0),"")</f>
        <v>guardamotor de 9 a 14</v>
      </c>
      <c r="D486" s="71">
        <f>SUMIF(ENTRADAS!B:B,B486,ENTRADAS!D:D)</f>
        <v>1</v>
      </c>
      <c r="E486" s="71">
        <f>SUMIF(SALIDAS!B:B,B486,SALIDAS!D:D)</f>
        <v>0</v>
      </c>
      <c r="F486" s="89">
        <f t="shared" si="1"/>
        <v>1</v>
      </c>
      <c r="G486" s="90"/>
      <c r="H486" s="90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</row>
    <row r="487">
      <c r="A487" s="79"/>
      <c r="B487" s="88" t="s">
        <v>1251</v>
      </c>
      <c r="C487" s="71" t="str">
        <f>IFERROR(VLOOKUP(B487 ,INVENTARIO!B527:C1000,2,0),"")</f>
        <v>contactor steck con nc y no bobina 220v</v>
      </c>
      <c r="D487" s="71">
        <f>SUMIF(ENTRADAS!B:B,B487,ENTRADAS!D:D)</f>
        <v>1</v>
      </c>
      <c r="E487" s="71">
        <f>SUMIF(SALIDAS!B:B,B487,SALIDAS!D:D)</f>
        <v>0</v>
      </c>
      <c r="F487" s="89">
        <f t="shared" si="1"/>
        <v>1</v>
      </c>
      <c r="G487" s="90"/>
      <c r="H487" s="90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</row>
    <row r="488">
      <c r="A488" s="79"/>
      <c r="B488" s="88" t="s">
        <v>1254</v>
      </c>
      <c r="C488" s="71" t="str">
        <f>IFERROR(VLOOKUP(B488 ,INVENTARIO!B529:C1000,2,0),"")</f>
        <v>contactor steck con nc y no bobina 380v</v>
      </c>
      <c r="D488" s="71">
        <f>SUMIF(ENTRADAS!B:B,B488,ENTRADAS!D:D)</f>
        <v>1</v>
      </c>
      <c r="E488" s="71">
        <f>SUMIF(SALIDAS!B:B,B488,SALIDAS!D:D)</f>
        <v>0</v>
      </c>
      <c r="F488" s="89">
        <f t="shared" si="1"/>
        <v>1</v>
      </c>
      <c r="G488" s="90"/>
      <c r="H488" s="90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</row>
    <row r="489">
      <c r="A489" s="79"/>
      <c r="B489" s="88" t="s">
        <v>1256</v>
      </c>
      <c r="C489" s="71" t="str">
        <f>IFERROR(VLOOKUP(B489 ,INVENTARIO!B529:C1000,2,0),"")</f>
        <v>contactor steck con nc y no bobina 24v</v>
      </c>
      <c r="D489" s="71">
        <f>SUMIF(ENTRADAS!B:B,B489,ENTRADAS!D:D)</f>
        <v>1</v>
      </c>
      <c r="E489" s="71">
        <f>SUMIF(SALIDAS!B:B,B489,SALIDAS!D:D)</f>
        <v>0</v>
      </c>
      <c r="F489" s="89">
        <f t="shared" si="1"/>
        <v>1</v>
      </c>
      <c r="G489" s="90"/>
      <c r="H489" s="90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</row>
    <row r="490">
      <c r="A490" s="79"/>
      <c r="B490" s="88" t="s">
        <v>1258</v>
      </c>
      <c r="C490" s="71" t="str">
        <f>IFERROR(VLOOKUP(B490 ,INVENTARIO!B530:C1000,2,0),"")</f>
        <v>contactor siemens</v>
      </c>
      <c r="D490" s="71">
        <f>SUMIF(ENTRADAS!B:B,B490,ENTRADAS!D:D)</f>
        <v>1</v>
      </c>
      <c r="E490" s="71">
        <f>SUMIF(SALIDAS!B:B,B490,SALIDAS!D:D)</f>
        <v>0</v>
      </c>
      <c r="F490" s="89">
        <f t="shared" si="1"/>
        <v>1</v>
      </c>
      <c r="G490" s="90"/>
      <c r="H490" s="90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</row>
    <row r="491">
      <c r="A491" s="79"/>
      <c r="B491" s="88" t="s">
        <v>1260</v>
      </c>
      <c r="C491" s="71" t="str">
        <f>IFERROR(VLOOKUP(B491 ,INVENTARIO!B531:C1000,2,0),"")</f>
        <v>contactor schneider con nc y no bobina 115v</v>
      </c>
      <c r="D491" s="71">
        <f>SUMIF(ENTRADAS!B:B,B491,ENTRADAS!D:D)</f>
        <v>1</v>
      </c>
      <c r="E491" s="71">
        <f>SUMIF(SALIDAS!B:B,B491,SALIDAS!D:D)</f>
        <v>0</v>
      </c>
      <c r="F491" s="89">
        <f t="shared" si="1"/>
        <v>1</v>
      </c>
      <c r="G491" s="90"/>
      <c r="H491" s="90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</row>
    <row r="492">
      <c r="A492" s="79"/>
      <c r="B492" s="88" t="s">
        <v>1262</v>
      </c>
      <c r="C492" s="71" t="str">
        <f>IFERROR(VLOOKUP(B492 ,INVENTARIO!B532:C1000,2,0),"")</f>
        <v>contactor con bobina 24v</v>
      </c>
      <c r="D492" s="71">
        <f>SUMIF(ENTRADAS!B:B,B492,ENTRADAS!D:D)</f>
        <v>2</v>
      </c>
      <c r="E492" s="71">
        <f>SUMIF(SALIDAS!B:B,B492,SALIDAS!D:D)</f>
        <v>0</v>
      </c>
      <c r="F492" s="89">
        <f t="shared" si="1"/>
        <v>2</v>
      </c>
      <c r="G492" s="90"/>
      <c r="H492" s="90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</row>
    <row r="493">
      <c r="A493" s="79"/>
      <c r="B493" s="88" t="s">
        <v>1265</v>
      </c>
      <c r="C493" s="71" t="str">
        <f>IFERROR(VLOOKUP(B493 ,INVENTARIO!B533:C1000,2,0),"")</f>
        <v>contactor con nc y no bobina 24v</v>
      </c>
      <c r="D493" s="71">
        <f>SUMIF(ENTRADAS!B:B,B493,ENTRADAS!D:D)</f>
        <v>1</v>
      </c>
      <c r="E493" s="71">
        <f>SUMIF(SALIDAS!B:B,B493,SALIDAS!D:D)</f>
        <v>0</v>
      </c>
      <c r="F493" s="89">
        <f t="shared" si="1"/>
        <v>1</v>
      </c>
      <c r="G493" s="90"/>
      <c r="H493" s="90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</row>
    <row r="494">
      <c r="A494" s="79"/>
      <c r="B494" s="88" t="s">
        <v>1267</v>
      </c>
      <c r="C494" s="71" t="str">
        <f>IFERROR(VLOOKUP(B494 ,INVENTARIO!B534:C1000,2,0),"")</f>
        <v>contactor con no bobina 220v</v>
      </c>
      <c r="D494" s="71">
        <f>SUMIF(ENTRADAS!B:B,B494,ENTRADAS!D:D)</f>
        <v>2</v>
      </c>
      <c r="E494" s="71">
        <f>SUMIF(SALIDAS!B:B,B494,SALIDAS!D:D)</f>
        <v>0</v>
      </c>
      <c r="F494" s="89">
        <f t="shared" si="1"/>
        <v>2</v>
      </c>
      <c r="G494" s="90"/>
      <c r="H494" s="90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</row>
    <row r="495">
      <c r="A495" s="79"/>
      <c r="B495" s="88" t="s">
        <v>1269</v>
      </c>
      <c r="C495" s="71" t="str">
        <f>IFERROR(VLOOKUP(B495 ,INVENTARIO!B535:C1000,2,0),"")</f>
        <v>contactor con nc y no bobina 24v</v>
      </c>
      <c r="D495" s="71">
        <f>SUMIF(ENTRADAS!B:B,B495,ENTRADAS!D:D)</f>
        <v>1</v>
      </c>
      <c r="E495" s="71">
        <f>SUMIF(SALIDAS!B:B,B495,SALIDAS!D:D)</f>
        <v>0</v>
      </c>
      <c r="F495" s="89">
        <f t="shared" si="1"/>
        <v>1</v>
      </c>
      <c r="G495" s="90"/>
      <c r="H495" s="90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</row>
    <row r="496">
      <c r="A496" s="79"/>
      <c r="B496" s="88" t="s">
        <v>1270</v>
      </c>
      <c r="C496" s="71" t="str">
        <f>IFERROR(VLOOKUP(B496 ,INVENTARIO!B536:C1000,2,0),"")</f>
        <v>contactor steck con no bobina 220v</v>
      </c>
      <c r="D496" s="71">
        <f>SUMIF(ENTRADAS!B:B,B496,ENTRADAS!D:D)</f>
        <v>1</v>
      </c>
      <c r="E496" s="71">
        <f>SUMIF(SALIDAS!B:B,B496,SALIDAS!D:D)</f>
        <v>0</v>
      </c>
      <c r="F496" s="89">
        <f t="shared" si="1"/>
        <v>1</v>
      </c>
      <c r="G496" s="90"/>
      <c r="H496" s="90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</row>
    <row r="497">
      <c r="A497" s="79"/>
      <c r="B497" s="88" t="s">
        <v>1272</v>
      </c>
      <c r="C497" s="71" t="str">
        <f>IFERROR(VLOOKUP(B497 ,INVENTARIO!B537:C1000,2,0),"")</f>
        <v>contactor BAW con no sin bobina</v>
      </c>
      <c r="D497" s="71">
        <f>SUMIF(ENTRADAS!B:B,B497,ENTRADAS!D:D)</f>
        <v>1</v>
      </c>
      <c r="E497" s="71">
        <f>SUMIF(SALIDAS!B:B,B497,SALIDAS!D:D)</f>
        <v>0</v>
      </c>
      <c r="F497" s="89">
        <f t="shared" si="1"/>
        <v>1</v>
      </c>
      <c r="G497" s="90"/>
      <c r="H497" s="90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</row>
    <row r="498">
      <c r="A498" s="79"/>
      <c r="B498" s="88" t="s">
        <v>1274</v>
      </c>
      <c r="C498" s="71" t="str">
        <f>IFERROR(VLOOKUP(B498 ,INVENTARIO!B538:C1000,2,0),"")</f>
        <v>contactor con bobina 24v</v>
      </c>
      <c r="D498" s="71">
        <f>SUMIF(ENTRADAS!B:B,B498,ENTRADAS!D:D)</f>
        <v>0</v>
      </c>
      <c r="E498" s="71">
        <f>SUMIF(SALIDAS!B:B,B498,SALIDAS!D:D)</f>
        <v>0</v>
      </c>
      <c r="F498" s="89">
        <f t="shared" si="1"/>
        <v>0</v>
      </c>
      <c r="G498" s="90"/>
      <c r="H498" s="90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</row>
    <row r="499">
      <c r="A499" s="79"/>
      <c r="B499" s="88" t="s">
        <v>1275</v>
      </c>
      <c r="C499" s="71" t="str">
        <f>IFERROR(VLOOKUP(B499 ,INVENTARIO!B539:C1000,2,0),"")</f>
        <v>c.ctor af26-30-00-13</v>
      </c>
      <c r="D499" s="71">
        <f>SUMIF(ENTRADAS!B:B,B499,ENTRADAS!D:D)</f>
        <v>0</v>
      </c>
      <c r="E499" s="71">
        <f>SUMIF(SALIDAS!B:B,B499,SALIDAS!D:D)</f>
        <v>0</v>
      </c>
      <c r="F499" s="89">
        <f t="shared" si="1"/>
        <v>0</v>
      </c>
      <c r="G499" s="90"/>
      <c r="H499" s="90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</row>
    <row r="500">
      <c r="A500" s="79"/>
      <c r="B500" s="88" t="s">
        <v>1277</v>
      </c>
      <c r="C500" s="71" t="str">
        <f>IFERROR(VLOOKUP(B500 ,INVENTARIO!B540:C1000,2,0),"")</f>
        <v>c.tor CL25A300t6</v>
      </c>
      <c r="D500" s="71">
        <f>SUMIF(ENTRADAS!B:B,B500,ENTRADAS!D:D)</f>
        <v>0</v>
      </c>
      <c r="E500" s="71">
        <f>SUMIF(SALIDAS!B:B,B500,SALIDAS!D:D)</f>
        <v>0</v>
      </c>
      <c r="F500" s="89">
        <f t="shared" si="1"/>
        <v>0</v>
      </c>
      <c r="G500" s="90"/>
      <c r="H500" s="90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</row>
    <row r="501">
      <c r="A501" s="79"/>
      <c r="B501" s="88" t="s">
        <v>1704</v>
      </c>
      <c r="C501" s="71" t="str">
        <f>IFERROR(VLOOKUP(B501 ,INVENTARIO!B541:C1000,2,0),"")</f>
        <v>Tinta Hitachi</v>
      </c>
      <c r="D501" s="71">
        <f>SUMIF(ENTRADAS!B:B,B501,ENTRADAS!D:D)</f>
        <v>5</v>
      </c>
      <c r="E501" s="71">
        <f>SUMIF(SALIDAS!B:B,B501,SALIDAS!D:D)</f>
        <v>0</v>
      </c>
      <c r="F501" s="89">
        <f t="shared" si="1"/>
        <v>5</v>
      </c>
      <c r="G501" s="90"/>
      <c r="H501" s="90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</row>
    <row r="502">
      <c r="A502" s="79"/>
      <c r="B502" s="88" t="s">
        <v>1692</v>
      </c>
      <c r="C502" s="71" t="str">
        <f>IFERROR(VLOOKUP(B502 ,INVENTARIO!B542:C1000,2,0),"")</f>
        <v>diluyente de tinta HITACHI</v>
      </c>
      <c r="D502" s="71">
        <f>SUMIF(ENTRADAS!B:B,B502,ENTRADAS!D:D)</f>
        <v>25</v>
      </c>
      <c r="E502" s="71">
        <f>SUMIF(SALIDAS!B:B,B502,SALIDAS!D:D)</f>
        <v>1</v>
      </c>
      <c r="F502" s="89">
        <f t="shared" si="1"/>
        <v>24</v>
      </c>
      <c r="G502" s="90"/>
      <c r="H502" s="90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</row>
    <row r="503">
      <c r="A503" s="79"/>
      <c r="B503" s="88" t="s">
        <v>1856</v>
      </c>
      <c r="C503" s="71" t="str">
        <f>IFERROR(VLOOKUP(B503 ,INVENTARIO!B543:C1000,2,0),"")</f>
        <v>Termocupla  temperatura mordazas env</v>
      </c>
      <c r="D503" s="71">
        <f>SUMIF(ENTRADAS!B:B,B503,ENTRADAS!D:D)</f>
        <v>2</v>
      </c>
      <c r="E503" s="71">
        <f>SUMIF(SALIDAS!B:B,B503,SALIDAS!D:D)</f>
        <v>0</v>
      </c>
      <c r="F503" s="89">
        <f t="shared" si="1"/>
        <v>2</v>
      </c>
      <c r="G503" s="90"/>
      <c r="H503" s="90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</row>
    <row r="504">
      <c r="A504" s="79"/>
      <c r="B504" s="88" t="s">
        <v>1595</v>
      </c>
      <c r="C504" s="71">
        <f>IFERROR(VLOOKUP(B504 ,INVENTARIO!B544:C1000,2,0),"")</f>
        <v>302295</v>
      </c>
      <c r="D504" s="71">
        <f>SUMIF(ENTRADAS!B:B,B504,ENTRADAS!D:D)</f>
        <v>8</v>
      </c>
      <c r="E504" s="71">
        <f>SUMIF(SALIDAS!B:B,B504,SALIDAS!D:D)</f>
        <v>0</v>
      </c>
      <c r="F504" s="89">
        <f t="shared" si="1"/>
        <v>8</v>
      </c>
      <c r="G504" s="90"/>
      <c r="H504" s="90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</row>
    <row r="505">
      <c r="A505" s="79"/>
      <c r="B505" s="88" t="s">
        <v>1587</v>
      </c>
      <c r="C505" s="71" t="str">
        <f>IFERROR(VLOOKUP(B505 ,INVENTARIO!B545:C1000,2,0),"")</f>
        <v>CORREA DENTADA 240XL Transferencia</v>
      </c>
      <c r="D505" s="71">
        <f>SUMIF(ENTRADAS!B:B,B505,ENTRADAS!D:D)</f>
        <v>16</v>
      </c>
      <c r="E505" s="71">
        <f>SUMIF(SALIDAS!B:B,B505,SALIDAS!D:D)</f>
        <v>9</v>
      </c>
      <c r="F505" s="89">
        <f t="shared" si="1"/>
        <v>7</v>
      </c>
      <c r="G505" s="90"/>
      <c r="H505" s="90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</row>
    <row r="506">
      <c r="A506" s="79"/>
      <c r="B506" s="88" t="s">
        <v>287</v>
      </c>
      <c r="C506" s="71" t="str">
        <f>IFERROR(VLOOKUP(B506 ,INVENTARIO!B546:C1000,2,0),"")</f>
        <v/>
      </c>
      <c r="D506" s="71">
        <f>SUMIF(ENTRADAS!B:B,B506,ENTRADAS!D:D)</f>
        <v>6</v>
      </c>
      <c r="E506" s="71">
        <f>SUMIF(SALIDAS!B:B,B506,SALIDAS!D:D)</f>
        <v>3</v>
      </c>
      <c r="F506" s="89">
        <f t="shared" si="1"/>
        <v>3</v>
      </c>
      <c r="G506" s="90"/>
      <c r="H506" s="90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</row>
    <row r="507">
      <c r="A507" s="79"/>
      <c r="B507" s="88" t="s">
        <v>220</v>
      </c>
      <c r="C507" s="71" t="str">
        <f>IFERROR(VLOOKUP(B507 ,INVENTARIO!B547:C1000,2,0),"")</f>
        <v/>
      </c>
      <c r="D507" s="71">
        <f>SUMIF(ENTRADAS!B:B,B507,ENTRADAS!D:D)</f>
        <v>2</v>
      </c>
      <c r="E507" s="71">
        <f>SUMIF(SALIDAS!B:B,B507,SALIDAS!D:D)</f>
        <v>0</v>
      </c>
      <c r="F507" s="89">
        <f t="shared" si="1"/>
        <v>2</v>
      </c>
      <c r="G507" s="90"/>
      <c r="H507" s="90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</row>
    <row r="508">
      <c r="A508" s="79"/>
      <c r="B508" s="88" t="s">
        <v>527</v>
      </c>
      <c r="C508" s="71" t="str">
        <f>IFERROR(VLOOKUP(B508 ,INVENTARIO!B548:C1000,2,0),"")</f>
        <v/>
      </c>
      <c r="D508" s="71">
        <f>SUMIF(ENTRADAS!B:B,B508,ENTRADAS!D:D)</f>
        <v>4</v>
      </c>
      <c r="E508" s="71">
        <f>SUMIF(SALIDAS!B:B,B508,SALIDAS!D:D)</f>
        <v>2</v>
      </c>
      <c r="F508" s="89">
        <f t="shared" si="1"/>
        <v>2</v>
      </c>
      <c r="G508" s="90"/>
      <c r="H508" s="90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</row>
    <row r="509">
      <c r="A509" s="79"/>
      <c r="B509" s="88" t="s">
        <v>1677</v>
      </c>
      <c r="C509" s="71" t="str">
        <f>IFERROR(VLOOKUP(B509 ,INVENTARIO!B549:C1000,2,0),"")</f>
        <v>Biocida Bardahl x 900ML</v>
      </c>
      <c r="D509" s="71">
        <f>SUMIF(ENTRADAS!B:B,B509,ENTRADAS!D:D)</f>
        <v>4</v>
      </c>
      <c r="E509" s="71">
        <f>SUMIF(SALIDAS!B:B,B509,SALIDAS!D:D)</f>
        <v>1</v>
      </c>
      <c r="F509" s="89">
        <f t="shared" si="1"/>
        <v>3</v>
      </c>
      <c r="G509" s="90"/>
      <c r="H509" s="90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</row>
    <row r="510">
      <c r="A510" s="79"/>
      <c r="B510" s="88" t="s">
        <v>1467</v>
      </c>
      <c r="C510" s="71" t="str">
        <f>IFERROR(VLOOKUP(B510 ,INVENTARIO!B550:C1000,2,0),"")</f>
        <v>RET-50-65-10</v>
      </c>
      <c r="D510" s="71">
        <f>SUMIF(ENTRADAS!B:B,B510,ENTRADAS!D:D)</f>
        <v>2</v>
      </c>
      <c r="E510" s="71">
        <f>SUMIF(SALIDAS!B:B,B510,SALIDAS!D:D)</f>
        <v>0</v>
      </c>
      <c r="F510" s="89">
        <f t="shared" si="1"/>
        <v>2</v>
      </c>
      <c r="G510" s="90"/>
      <c r="H510" s="90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</row>
    <row r="511">
      <c r="A511" s="79"/>
      <c r="B511" s="88" t="s">
        <v>1351</v>
      </c>
      <c r="C511" s="71" t="str">
        <f>IFERROR(VLOOKUP(B511 ,INVENTARIO!B551:C1000,2,0),"")</f>
        <v>DBH 15,6-25,5-7</v>
      </c>
      <c r="D511" s="71">
        <f>SUMIF(ENTRADAS!B:B,B511,ENTRADAS!D:D)</f>
        <v>4</v>
      </c>
      <c r="E511" s="71">
        <f>SUMIF(SALIDAS!B:B,B511,SALIDAS!D:D)</f>
        <v>0</v>
      </c>
      <c r="F511" s="89">
        <f t="shared" si="1"/>
        <v>4</v>
      </c>
      <c r="G511" s="90"/>
      <c r="H511" s="90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</row>
    <row r="512">
      <c r="A512" s="79"/>
      <c r="B512" s="88" t="s">
        <v>1353</v>
      </c>
      <c r="C512" s="71" t="str">
        <f>IFERROR(VLOOKUP(B512 ,INVENTARIO!B552:C1000,2,0),"")</f>
        <v>SAV 15,77-25,41-5</v>
      </c>
      <c r="D512" s="71">
        <f>SUMIF(ENTRADAS!B:B,B512,ENTRADAS!D:D)</f>
        <v>10</v>
      </c>
      <c r="E512" s="71">
        <f>SUMIF(SALIDAS!B:B,B512,SALIDAS!D:D)</f>
        <v>0</v>
      </c>
      <c r="F512" s="89">
        <f t="shared" si="1"/>
        <v>10</v>
      </c>
      <c r="G512" s="90"/>
      <c r="H512" s="90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</row>
    <row r="513">
      <c r="A513" s="79"/>
      <c r="B513" s="88" t="s">
        <v>1920</v>
      </c>
      <c r="C513" s="71" t="str">
        <f>IFERROR(VLOOKUP(B513 ,INVENTARIO!B553:C1000,2,0),"")</f>
        <v/>
      </c>
      <c r="D513" s="71">
        <f>SUMIF(ENTRADAS!B:B,B513,ENTRADAS!D:D)</f>
        <v>2</v>
      </c>
      <c r="E513" s="71">
        <f>SUMIF(SALIDAS!B:B,B513,SALIDAS!D:D)</f>
        <v>2</v>
      </c>
      <c r="F513" s="89">
        <f t="shared" si="1"/>
        <v>0</v>
      </c>
      <c r="G513" s="90"/>
      <c r="H513" s="90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</row>
    <row r="514">
      <c r="A514" s="79"/>
      <c r="B514" s="88" t="s">
        <v>1425</v>
      </c>
      <c r="C514" s="71" t="str">
        <f>IFERROR(VLOOKUP(B514 ,INVENTARIO!B555:C1000,2,0),"")</f>
        <v>SAV 35-72-10</v>
      </c>
      <c r="D514" s="71">
        <f>SUMIF(ENTRADAS!B:B,B514,ENTRADAS!D:D)</f>
        <v>2</v>
      </c>
      <c r="E514" s="71">
        <f>SUMIF(SALIDAS!B:B,B514,SALIDAS!D:D)</f>
        <v>1</v>
      </c>
      <c r="F514" s="89">
        <f t="shared" si="1"/>
        <v>1</v>
      </c>
      <c r="G514" s="90"/>
      <c r="H514" s="90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</row>
    <row r="515">
      <c r="A515" s="79"/>
      <c r="B515" s="88" t="s">
        <v>1441</v>
      </c>
      <c r="C515" s="71" t="str">
        <f>IFERROR(VLOOKUP(B515 ,INVENTARIO!B557:C1000,2,0),"")</f>
        <v>40-62-7</v>
      </c>
      <c r="D515" s="71">
        <f>SUMIF(ENTRADAS!B:B,B515,ENTRADAS!D:D)</f>
        <v>2</v>
      </c>
      <c r="E515" s="71">
        <f>SUMIF(SALIDAS!B:B,B515,SALIDAS!D:D)</f>
        <v>0</v>
      </c>
      <c r="F515" s="89">
        <f t="shared" si="1"/>
        <v>2</v>
      </c>
      <c r="G515" s="90"/>
      <c r="H515" s="90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</row>
    <row r="516">
      <c r="A516" s="79"/>
      <c r="B516" s="88" t="s">
        <v>1921</v>
      </c>
      <c r="C516" s="71" t="str">
        <f>IFERROR(VLOOKUP(B516 ,INVENTARIO!B558:C1000,2,0),"")</f>
        <v/>
      </c>
      <c r="D516" s="71">
        <f>SUMIF(ENTRADAS!B:B,B516,ENTRADAS!D:D)</f>
        <v>2</v>
      </c>
      <c r="E516" s="71">
        <f>SUMIF(SALIDAS!B:B,B516,SALIDAS!D:D)</f>
        <v>1</v>
      </c>
      <c r="F516" s="89">
        <f t="shared" si="1"/>
        <v>1</v>
      </c>
      <c r="G516" s="90"/>
      <c r="H516" s="90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</row>
    <row r="517">
      <c r="A517" s="79"/>
      <c r="B517" s="88" t="s">
        <v>1389</v>
      </c>
      <c r="C517" s="71" t="str">
        <f>IFERROR(VLOOKUP(B517 ,INVENTARIO!B559:C1000,2,0),"")</f>
        <v>SAV 25-42-8</v>
      </c>
      <c r="D517" s="71">
        <f>SUMIF(ENTRADAS!B:B,B517,ENTRADAS!D:D)</f>
        <v>5</v>
      </c>
      <c r="E517" s="71">
        <f>SUMIF(SALIDAS!B:B,B517,SALIDAS!D:D)</f>
        <v>1</v>
      </c>
      <c r="F517" s="89">
        <f t="shared" si="1"/>
        <v>4</v>
      </c>
      <c r="G517" s="90"/>
      <c r="H517" s="90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</row>
    <row r="518">
      <c r="A518" s="79"/>
      <c r="B518" s="88" t="s">
        <v>1373</v>
      </c>
      <c r="C518" s="71" t="str">
        <f>IFERROR(VLOOKUP(B518 ,INVENTARIO!B560:C1000,2,0),"")</f>
        <v>25-37-7</v>
      </c>
      <c r="D518" s="71">
        <f>SUMIF(ENTRADAS!B:B,B518,ENTRADAS!D:D)</f>
        <v>4</v>
      </c>
      <c r="E518" s="71">
        <f>SUMIF(SALIDAS!B:B,B518,SALIDAS!D:D)</f>
        <v>0</v>
      </c>
      <c r="F518" s="89">
        <f t="shared" si="1"/>
        <v>4</v>
      </c>
      <c r="G518" s="90"/>
      <c r="H518" s="90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</row>
    <row r="519">
      <c r="A519" s="79"/>
      <c r="B519" s="88" t="s">
        <v>1922</v>
      </c>
      <c r="C519" s="71" t="str">
        <f>IFERROR(VLOOKUP(B519 ,INVENTARIO!B561:C1000,2,0),"")</f>
        <v/>
      </c>
      <c r="D519" s="71">
        <f>SUMIF(ENTRADAS!B:B,B519,ENTRADAS!D:D)</f>
        <v>1</v>
      </c>
      <c r="E519" s="71">
        <f>SUMIF(SALIDAS!B:B,B519,SALIDAS!D:D)</f>
        <v>0</v>
      </c>
      <c r="F519" s="89">
        <f t="shared" si="1"/>
        <v>1</v>
      </c>
      <c r="G519" s="90"/>
      <c r="H519" s="90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</row>
    <row r="520">
      <c r="A520" s="79"/>
      <c r="B520" s="88" t="s">
        <v>1385</v>
      </c>
      <c r="C520" s="71" t="str">
        <f>IFERROR(VLOOKUP(B520 ,INVENTARIO!B562:C1000,2,0),"")</f>
        <v>SAV 25,4-41,25-6,35</v>
      </c>
      <c r="D520" s="71">
        <f>SUMIF(ENTRADAS!B:B,B520,ENTRADAS!D:D)</f>
        <v>1</v>
      </c>
      <c r="E520" s="71">
        <f>SUMIF(SALIDAS!B:B,B520,SALIDAS!D:D)</f>
        <v>0</v>
      </c>
      <c r="F520" s="89">
        <f t="shared" si="1"/>
        <v>1</v>
      </c>
      <c r="G520" s="90"/>
      <c r="H520" s="90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</row>
    <row r="521">
      <c r="A521" s="79"/>
      <c r="B521" s="88" t="s">
        <v>1486</v>
      </c>
      <c r="C521" s="71" t="str">
        <f>IFERROR(VLOOKUP(B521 ,INVENTARIO!B563:C1000,2,0),"")</f>
        <v>SAV 55-90-13</v>
      </c>
      <c r="D521" s="71">
        <f>SUMIF(ENTRADAS!B:B,B521,ENTRADAS!D:D)</f>
        <v>2</v>
      </c>
      <c r="E521" s="71">
        <f>SUMIF(SALIDAS!B:B,B521,SALIDAS!D:D)</f>
        <v>0</v>
      </c>
      <c r="F521" s="89">
        <f t="shared" si="1"/>
        <v>2</v>
      </c>
      <c r="G521" s="90"/>
      <c r="H521" s="90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</row>
    <row r="522">
      <c r="A522" s="79"/>
      <c r="B522" s="88" t="s">
        <v>1525</v>
      </c>
      <c r="C522" s="71" t="str">
        <f>IFERROR(VLOOKUP(B522 ,INVENTARIO!B564:C1000,2,0),"")</f>
        <v>SAV 70-90-10</v>
      </c>
      <c r="D522" s="71">
        <f>SUMIF(ENTRADAS!B:B,B522,ENTRADAS!D:D)</f>
        <v>2</v>
      </c>
      <c r="E522" s="71">
        <f>SUMIF(SALIDAS!B:B,B522,SALIDAS!D:D)</f>
        <v>0</v>
      </c>
      <c r="F522" s="89">
        <f t="shared" si="1"/>
        <v>2</v>
      </c>
      <c r="G522" s="90"/>
      <c r="H522" s="90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</row>
    <row r="523">
      <c r="A523" s="79"/>
      <c r="B523" s="88" t="s">
        <v>1683</v>
      </c>
      <c r="C523" s="71" t="str">
        <f>IFERROR(VLOOKUP(B523 ,INVENTARIO!B566:C1000,2,0),"")</f>
        <v>Grafito en polvo Marca LUBOKS</v>
      </c>
      <c r="D523" s="71">
        <f>SUMIF(ENTRADAS!B:B,B523,ENTRADAS!D:D)</f>
        <v>20</v>
      </c>
      <c r="E523" s="71">
        <f>SUMIF(SALIDAS!B:B,B523,SALIDAS!D:D)</f>
        <v>0</v>
      </c>
      <c r="F523" s="89">
        <f t="shared" si="1"/>
        <v>20</v>
      </c>
      <c r="G523" s="90"/>
      <c r="H523" s="90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</row>
    <row r="524">
      <c r="A524" s="79"/>
      <c r="B524" s="88" t="s">
        <v>316</v>
      </c>
      <c r="C524" s="71" t="str">
        <f>IFERROR(VLOOKUP(B524 ,INVENTARIO!B567:C1000,2,0),"")</f>
        <v/>
      </c>
      <c r="D524" s="71">
        <f>SUMIF(ENTRADAS!B:B,B524,ENTRADAS!D:D)</f>
        <v>12</v>
      </c>
      <c r="E524" s="71">
        <f>SUMIF(SALIDAS!B:B,B524,SALIDAS!D:D)</f>
        <v>0</v>
      </c>
      <c r="F524" s="89">
        <f t="shared" si="1"/>
        <v>12</v>
      </c>
      <c r="G524" s="90"/>
      <c r="H524" s="90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</row>
    <row r="525">
      <c r="A525" s="79"/>
      <c r="B525" s="88" t="s">
        <v>1923</v>
      </c>
      <c r="C525" s="71" t="str">
        <f>IFERROR(VLOOKUP(B525 ,INVENTARIO!B568:C1000,2,0),"")</f>
        <v/>
      </c>
      <c r="D525" s="71">
        <f>SUMIF(ENTRADAS!B:B,B525,ENTRADAS!D:D)</f>
        <v>6</v>
      </c>
      <c r="E525" s="71">
        <f>SUMIF(SALIDAS!B:B,B525,SALIDAS!D:D)</f>
        <v>0</v>
      </c>
      <c r="F525" s="89">
        <f t="shared" si="1"/>
        <v>6</v>
      </c>
      <c r="G525" s="90"/>
      <c r="H525" s="90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</row>
    <row r="526">
      <c r="A526" s="79"/>
      <c r="B526" s="88" t="s">
        <v>1689</v>
      </c>
      <c r="C526" s="71" t="str">
        <f>IFERROR(VLOOKUP(B526 ,INVENTARIO!B570:C1000,2,0),"")</f>
        <v>diluyente de tinta IMAJE</v>
      </c>
      <c r="D526" s="71">
        <f>SUMIF(ENTRADAS!B:B,B526,ENTRADAS!D:D)</f>
        <v>18</v>
      </c>
      <c r="E526" s="71">
        <f>SUMIF(SALIDAS!B:B,B526,SALIDAS!D:D)</f>
        <v>4</v>
      </c>
      <c r="F526" s="89">
        <f t="shared" si="1"/>
        <v>14</v>
      </c>
      <c r="G526" s="90"/>
      <c r="H526" s="90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</row>
    <row r="527">
      <c r="A527" s="79"/>
      <c r="B527" s="88" t="s">
        <v>1924</v>
      </c>
      <c r="C527" s="71" t="str">
        <f>IFERROR(VLOOKUP(B527 ,INVENTARIO!B571:C1000,2,0),"")</f>
        <v/>
      </c>
      <c r="D527" s="71">
        <f>SUMIF(ENTRADAS!B:B,B527,ENTRADAS!D:D)</f>
        <v>12</v>
      </c>
      <c r="E527" s="71">
        <f>SUMIF(SALIDAS!B:B,B527,SALIDAS!D:D)</f>
        <v>0</v>
      </c>
      <c r="F527" s="89">
        <f t="shared" si="1"/>
        <v>12</v>
      </c>
      <c r="G527" s="90"/>
      <c r="H527" s="90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</row>
    <row r="528">
      <c r="A528" s="79"/>
      <c r="B528" s="88" t="s">
        <v>1361</v>
      </c>
      <c r="C528" s="71" t="str">
        <f>IFERROR(VLOOKUP(B528 ,INVENTARIO!B572:C1000,2,0),"")</f>
        <v>DBH 16-26-5</v>
      </c>
      <c r="D528" s="71">
        <f>SUMIF(ENTRADAS!B:B,B528,ENTRADAS!D:D)</f>
        <v>0</v>
      </c>
      <c r="E528" s="71">
        <f>SUMIF(SALIDAS!B:B,B528,SALIDAS!D:D)</f>
        <v>0</v>
      </c>
      <c r="F528" s="89">
        <f t="shared" si="1"/>
        <v>0</v>
      </c>
      <c r="G528" s="90"/>
      <c r="H528" s="90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</row>
    <row r="529">
      <c r="A529" s="79"/>
      <c r="B529" s="88" t="s">
        <v>233</v>
      </c>
      <c r="C529" s="71" t="str">
        <f>IFERROR(VLOOKUP(B529 ,INVENTARIO!B573:C1000,2,0),"")</f>
        <v/>
      </c>
      <c r="D529" s="71">
        <f>SUMIF(ENTRADAS!B:B,B529,ENTRADAS!D:D)</f>
        <v>5</v>
      </c>
      <c r="E529" s="71">
        <f>SUMIF(SALIDAS!B:B,B529,SALIDAS!D:D)</f>
        <v>4</v>
      </c>
      <c r="F529" s="89">
        <f t="shared" si="1"/>
        <v>1</v>
      </c>
      <c r="G529" s="90"/>
      <c r="H529" s="90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</row>
    <row r="530">
      <c r="A530" s="79"/>
      <c r="B530" s="88" t="s">
        <v>1306</v>
      </c>
      <c r="C530" s="71" t="str">
        <f>IFERROR(VLOOKUP(B530 ,INVENTARIO!B574:C1000,2,0),"")</f>
        <v>contactos normal abierto /STECK</v>
      </c>
      <c r="D530" s="71">
        <f>SUMIF(ENTRADAS!B:B,B530,ENTRADAS!D:D)</f>
        <v>42</v>
      </c>
      <c r="E530" s="71">
        <f>SUMIF(SALIDAS!B:B,B530,SALIDAS!D:D)</f>
        <v>18</v>
      </c>
      <c r="F530" s="89">
        <f t="shared" si="1"/>
        <v>24</v>
      </c>
      <c r="G530" s="90"/>
      <c r="H530" s="90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</row>
    <row r="531">
      <c r="A531" s="79"/>
      <c r="B531" s="88" t="s">
        <v>1304</v>
      </c>
      <c r="C531" s="71" t="str">
        <f>IFERROR(VLOOKUP(B531 ,INVENTARIO!B575:C1000,2,0),"")</f>
        <v>contactos normal cerrado /STECK</v>
      </c>
      <c r="D531" s="71">
        <f>SUMIF(ENTRADAS!B:B,B531,ENTRADAS!D:D)</f>
        <v>22</v>
      </c>
      <c r="E531" s="71">
        <f>SUMIF(SALIDAS!B:B,B531,SALIDAS!D:D)</f>
        <v>11</v>
      </c>
      <c r="F531" s="89">
        <f t="shared" si="1"/>
        <v>11</v>
      </c>
      <c r="G531" s="90"/>
      <c r="H531" s="90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</row>
    <row r="532">
      <c r="A532" s="79"/>
      <c r="B532" s="88" t="s">
        <v>1925</v>
      </c>
      <c r="C532" s="71" t="str">
        <f>IFERROR(VLOOKUP(B532 ,INVENTARIO!B576:C1000,2,0),"")</f>
        <v/>
      </c>
      <c r="D532" s="71">
        <f>SUMIF(ENTRADAS!B:B,B532,ENTRADAS!D:D)</f>
        <v>36</v>
      </c>
      <c r="E532" s="71">
        <f>SUMIF(SALIDAS!B:B,B532,SALIDAS!D:D)</f>
        <v>0</v>
      </c>
      <c r="F532" s="89">
        <f t="shared" si="1"/>
        <v>36</v>
      </c>
      <c r="G532" s="90"/>
      <c r="H532" s="90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</row>
    <row r="533">
      <c r="A533" s="79"/>
      <c r="B533" s="88" t="s">
        <v>1701</v>
      </c>
      <c r="C533" s="71" t="str">
        <f>IFERROR(VLOOKUP(B533 ,INVENTARIO!B577:C1000,2,0),"")</f>
        <v>Tinta IMAJE</v>
      </c>
      <c r="D533" s="71">
        <f>SUMIF(ENTRADAS!B:B,B533,ENTRADAS!D:D)</f>
        <v>1</v>
      </c>
      <c r="E533" s="71">
        <f>SUMIF(SALIDAS!B:B,B533,SALIDAS!D:D)</f>
        <v>0</v>
      </c>
      <c r="F533" s="89">
        <f t="shared" si="1"/>
        <v>1</v>
      </c>
      <c r="G533" s="90"/>
      <c r="H533" s="90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</row>
    <row r="534">
      <c r="A534" s="79"/>
      <c r="B534" s="88" t="s">
        <v>1926</v>
      </c>
      <c r="C534" s="71" t="str">
        <f>IFERROR(VLOOKUP(B534 ,INVENTARIO!B578:C1000,2,0),"")</f>
        <v/>
      </c>
      <c r="D534" s="71">
        <f>SUMIF(ENTRADAS!B:B,B534,ENTRADAS!D:D)</f>
        <v>2</v>
      </c>
      <c r="E534" s="71">
        <f>SUMIF(SALIDAS!B:B,B534,SALIDAS!D:D)</f>
        <v>0</v>
      </c>
      <c r="F534" s="89">
        <f t="shared" si="1"/>
        <v>2</v>
      </c>
      <c r="G534" s="90"/>
      <c r="H534" s="90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</row>
    <row r="535">
      <c r="A535" s="79"/>
      <c r="B535" s="88" t="s">
        <v>1927</v>
      </c>
      <c r="C535" s="71" t="str">
        <f>IFERROR(VLOOKUP(B535 ,INVENTARIO!B579:C1000,2,0),"")</f>
        <v/>
      </c>
      <c r="D535" s="71">
        <f>SUMIF(ENTRADAS!B:B,B535,ENTRADAS!D:D)</f>
        <v>4</v>
      </c>
      <c r="E535" s="71">
        <f>SUMIF(SALIDAS!B:B,B535,SALIDAS!D:D)</f>
        <v>0</v>
      </c>
      <c r="F535" s="89">
        <f t="shared" si="1"/>
        <v>4</v>
      </c>
      <c r="G535" s="90"/>
      <c r="H535" s="90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</row>
    <row r="536">
      <c r="A536" s="79"/>
      <c r="B536" s="88" t="s">
        <v>27</v>
      </c>
      <c r="C536" s="71" t="str">
        <f>IFERROR(VLOOKUP(B536 ,INVENTARIO!B580:C1000,2,0),"")</f>
        <v/>
      </c>
      <c r="D536" s="71">
        <f>SUMIF(ENTRADAS!B:B,B536,ENTRADAS!D:D)</f>
        <v>9</v>
      </c>
      <c r="E536" s="71">
        <f>SUMIF(SALIDAS!B:B,B536,SALIDAS!D:D)</f>
        <v>0</v>
      </c>
      <c r="F536" s="89">
        <f t="shared" si="1"/>
        <v>9</v>
      </c>
      <c r="G536" s="90"/>
      <c r="H536" s="90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</row>
    <row r="537">
      <c r="A537" s="79"/>
      <c r="B537" s="88" t="s">
        <v>1562</v>
      </c>
      <c r="C537" s="71" t="str">
        <f>IFERROR(VLOOKUP(B537 ,INVENTARIO!B581:C1000,2,0),"")</f>
        <v>Correas B-36</v>
      </c>
      <c r="D537" s="71">
        <f>SUMIF(ENTRADAS!B:B,B537,ENTRADAS!D:D)</f>
        <v>2</v>
      </c>
      <c r="E537" s="71">
        <f>SUMIF(SALIDAS!B:B,B537,SALIDAS!D:D)</f>
        <v>5</v>
      </c>
      <c r="F537" s="89">
        <f t="shared" si="1"/>
        <v>-3</v>
      </c>
      <c r="G537" s="90"/>
      <c r="H537" s="90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</row>
    <row r="538">
      <c r="A538" s="79"/>
      <c r="B538" s="88" t="s">
        <v>1571</v>
      </c>
      <c r="C538" s="71" t="str">
        <f>IFERROR(VLOOKUP(B538 ,INVENTARIO!B582:C1000,2,0),"")</f>
        <v>Correas B-45</v>
      </c>
      <c r="D538" s="71">
        <f>SUMIF(ENTRADAS!B:B,B538,ENTRADAS!D:D)</f>
        <v>4</v>
      </c>
      <c r="E538" s="71">
        <f>SUMIF(SALIDAS!B:B,B538,SALIDAS!D:D)</f>
        <v>2</v>
      </c>
      <c r="F538" s="89">
        <f t="shared" si="1"/>
        <v>2</v>
      </c>
      <c r="G538" s="90"/>
      <c r="H538" s="90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</row>
    <row r="539">
      <c r="A539" s="79"/>
      <c r="B539" s="88" t="s">
        <v>164</v>
      </c>
      <c r="C539" s="71" t="str">
        <f>IFERROR(VLOOKUP(B539 ,INVENTARIO!B583:C1000,2,0),"")</f>
        <v/>
      </c>
      <c r="D539" s="71">
        <f>SUMIF(ENTRADAS!B:B,B539,ENTRADAS!D:D)</f>
        <v>3</v>
      </c>
      <c r="E539" s="71">
        <f>SUMIF(SALIDAS!B:B,B539,SALIDAS!D:D)</f>
        <v>2</v>
      </c>
      <c r="F539" s="89">
        <f t="shared" si="1"/>
        <v>1</v>
      </c>
      <c r="G539" s="90"/>
      <c r="H539" s="90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</row>
    <row r="540">
      <c r="A540" s="79"/>
      <c r="B540" s="88" t="s">
        <v>1928</v>
      </c>
      <c r="C540" s="71" t="str">
        <f>IFERROR(VLOOKUP(B540 ,INVENTARIO!B584:C1000,2,0),"")</f>
        <v/>
      </c>
      <c r="D540" s="71">
        <f>SUMIF(ENTRADAS!B:B,B540,ENTRADAS!D:D)</f>
        <v>0</v>
      </c>
      <c r="E540" s="71">
        <f>SUMIF(SALIDAS!B:B,B540,SALIDAS!D:D)</f>
        <v>0</v>
      </c>
      <c r="F540" s="89">
        <f t="shared" si="1"/>
        <v>0</v>
      </c>
      <c r="G540" s="90"/>
      <c r="H540" s="90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</row>
    <row r="541">
      <c r="A541" s="79"/>
      <c r="B541" s="88" t="s">
        <v>108</v>
      </c>
      <c r="C541" s="71" t="str">
        <f>IFERROR(VLOOKUP(B541 ,INVENTARIO!B585:C1000,2,0),"")</f>
        <v/>
      </c>
      <c r="D541" s="71">
        <f>SUMIF(ENTRADAS!B:B,B541,ENTRADAS!D:D)</f>
        <v>28</v>
      </c>
      <c r="E541" s="71">
        <f>SUMIF(SALIDAS!B:B,B541,SALIDAS!D:D)</f>
        <v>11</v>
      </c>
      <c r="F541" s="89">
        <f t="shared" si="1"/>
        <v>17</v>
      </c>
      <c r="G541" s="90"/>
      <c r="H541" s="90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</row>
    <row r="542">
      <c r="A542" s="79"/>
      <c r="B542" s="88" t="s">
        <v>1375</v>
      </c>
      <c r="C542" s="71" t="str">
        <f>IFERROR(VLOOKUP(B542 ,INVENTARIO!B586:C1000,2,0),"")</f>
        <v>SAV 17-30-7</v>
      </c>
      <c r="D542" s="71">
        <f>SUMIF(ENTRADAS!B:B,B542,ENTRADAS!D:D)</f>
        <v>10</v>
      </c>
      <c r="E542" s="71">
        <f>SUMIF(SALIDAS!B:B,B542,SALIDAS!D:D)</f>
        <v>13</v>
      </c>
      <c r="F542" s="89">
        <f t="shared" si="1"/>
        <v>-3</v>
      </c>
      <c r="G542" s="90"/>
      <c r="H542" s="90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</row>
    <row r="543">
      <c r="A543" s="79"/>
      <c r="B543" s="88" t="s">
        <v>1929</v>
      </c>
      <c r="C543" s="71" t="str">
        <f>IFERROR(VLOOKUP(B543 ,INVENTARIO!B587:C1000,2,0),"")</f>
        <v/>
      </c>
      <c r="D543" s="71">
        <f>SUMIF(ENTRADAS!B:B,B543,ENTRADAS!D:D)</f>
        <v>15</v>
      </c>
      <c r="E543" s="71">
        <f>SUMIF(SALIDAS!B:B,B543,SALIDAS!D:D)</f>
        <v>0</v>
      </c>
      <c r="F543" s="89">
        <f t="shared" si="1"/>
        <v>15</v>
      </c>
      <c r="G543" s="90"/>
      <c r="H543" s="90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</row>
    <row r="544">
      <c r="A544" s="79"/>
      <c r="B544" s="88" t="s">
        <v>1930</v>
      </c>
      <c r="C544" s="71" t="str">
        <f>IFERROR(VLOOKUP(B544 ,INVENTARIO!B588:C1000,2,0),"")</f>
        <v/>
      </c>
      <c r="D544" s="71">
        <f>SUMIF(ENTRADAS!B:B,B544,ENTRADAS!D:D)</f>
        <v>2</v>
      </c>
      <c r="E544" s="71">
        <f>SUMIF(SALIDAS!B:B,B544,SALIDAS!D:D)</f>
        <v>2</v>
      </c>
      <c r="F544" s="89">
        <f t="shared" si="1"/>
        <v>0</v>
      </c>
      <c r="G544" s="90"/>
      <c r="H544" s="90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</row>
    <row r="545">
      <c r="A545" s="79"/>
      <c r="B545" s="88" t="s">
        <v>72</v>
      </c>
      <c r="C545" s="71" t="str">
        <f>IFERROR(VLOOKUP(B545 ,INVENTARIO!B589:C1000,2,0),"")</f>
        <v/>
      </c>
      <c r="D545" s="71">
        <f>SUMIF(ENTRADAS!B:B,B545,ENTRADAS!D:D)</f>
        <v>1</v>
      </c>
      <c r="E545" s="71">
        <f>SUMIF(SALIDAS!B:B,B545,SALIDAS!D:D)</f>
        <v>0</v>
      </c>
      <c r="F545" s="89">
        <f t="shared" si="1"/>
        <v>1</v>
      </c>
      <c r="G545" s="90"/>
      <c r="H545" s="90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</row>
    <row r="546">
      <c r="A546" s="79"/>
      <c r="B546" s="88" t="s">
        <v>198</v>
      </c>
      <c r="C546" s="71" t="str">
        <f>IFERROR(VLOOKUP(B546 ,INVENTARIO!B590:C1000,2,0),"")</f>
        <v/>
      </c>
      <c r="D546" s="71">
        <f>SUMIF(ENTRADAS!B:B,B546,ENTRADAS!D:D)</f>
        <v>4</v>
      </c>
      <c r="E546" s="71">
        <f>SUMIF(SALIDAS!B:B,B546,SALIDAS!D:D)</f>
        <v>0</v>
      </c>
      <c r="F546" s="89">
        <f t="shared" si="1"/>
        <v>4</v>
      </c>
      <c r="G546" s="90"/>
      <c r="H546" s="90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</row>
    <row r="547">
      <c r="A547" s="79"/>
      <c r="B547" s="88" t="s">
        <v>1178</v>
      </c>
      <c r="C547" s="71" t="str">
        <f>IFERROR(VLOOKUP(B547 ,INVENTARIO!B591:C1000,2,0),"")</f>
        <v/>
      </c>
      <c r="D547" s="71">
        <f>SUMIF(ENTRADAS!B:B,B547,ENTRADAS!D:D)</f>
        <v>1</v>
      </c>
      <c r="E547" s="71">
        <f>SUMIF(SALIDAS!B:B,B547,SALIDAS!D:D)</f>
        <v>0</v>
      </c>
      <c r="F547" s="89">
        <f t="shared" si="1"/>
        <v>1</v>
      </c>
      <c r="G547" s="90"/>
      <c r="H547" s="90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</row>
    <row r="548">
      <c r="A548" s="79"/>
      <c r="B548" s="88" t="s">
        <v>1347</v>
      </c>
      <c r="C548" s="71" t="str">
        <f>IFERROR(VLOOKUP(B548 ,INVENTARIO!B592:C1000,2,0),"")</f>
        <v>RETEN 15-24-5 BRUCE</v>
      </c>
      <c r="D548" s="71">
        <f>SUMIF(ENTRADAS!B:B,B548,ENTRADAS!D:D)</f>
        <v>6</v>
      </c>
      <c r="E548" s="71">
        <f>SUMIF(SALIDAS!B:B,B548,SALIDAS!D:D)</f>
        <v>0</v>
      </c>
      <c r="F548" s="89">
        <f t="shared" si="1"/>
        <v>6</v>
      </c>
      <c r="G548" s="90"/>
      <c r="H548" s="90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</row>
    <row r="549">
      <c r="A549" s="79"/>
      <c r="B549" s="88" t="s">
        <v>261</v>
      </c>
      <c r="C549" s="71" t="str">
        <f>IFERROR(VLOOKUP(B549 ,INVENTARIO!B593:C1000,2,0),"")</f>
        <v/>
      </c>
      <c r="D549" s="71">
        <f>SUMIF(ENTRADAS!B:B,B549,ENTRADAS!D:D)</f>
        <v>8</v>
      </c>
      <c r="E549" s="71">
        <f>SUMIF(SALIDAS!B:B,B549,SALIDAS!D:D)</f>
        <v>0</v>
      </c>
      <c r="F549" s="89">
        <f t="shared" si="1"/>
        <v>8</v>
      </c>
      <c r="G549" s="90"/>
      <c r="H549" s="90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</row>
    <row r="550">
      <c r="A550" s="79"/>
      <c r="B550" s="88" t="s">
        <v>1100</v>
      </c>
      <c r="C550" s="71" t="str">
        <f>IFERROR(VLOOKUP(B550 ,INVENTARIO!B594:C1000,2,0),"")</f>
        <v/>
      </c>
      <c r="D550" s="71">
        <f>SUMIF(ENTRADAS!B:B,B550,ENTRADAS!D:D)</f>
        <v>3</v>
      </c>
      <c r="E550" s="71">
        <f>SUMIF(SALIDAS!B:B,B550,SALIDAS!D:D)</f>
        <v>0</v>
      </c>
      <c r="F550" s="89">
        <f t="shared" si="1"/>
        <v>3</v>
      </c>
      <c r="G550" s="90"/>
      <c r="H550" s="90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</row>
    <row r="551">
      <c r="A551" s="79"/>
      <c r="B551" s="88" t="s">
        <v>1221</v>
      </c>
      <c r="C551" s="71" t="str">
        <f>IFERROR(VLOOKUP(B551 ,INVENTARIO!B595:C1000,2,0),"")</f>
        <v/>
      </c>
      <c r="D551" s="71">
        <f>SUMIF(ENTRADAS!B:B,B551,ENTRADAS!D:D)</f>
        <v>1</v>
      </c>
      <c r="E551" s="71">
        <f>SUMIF(SALIDAS!B:B,B551,SALIDAS!D:D)</f>
        <v>1</v>
      </c>
      <c r="F551" s="89">
        <f t="shared" si="1"/>
        <v>0</v>
      </c>
      <c r="G551" s="90"/>
      <c r="H551" s="90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</row>
    <row r="552">
      <c r="A552" s="79"/>
      <c r="B552" s="88" t="s">
        <v>1872</v>
      </c>
      <c r="C552" s="71" t="str">
        <f>IFERROR(VLOOKUP(B552 ,INVENTARIO!B596:C1000,2,0),"")</f>
        <v>Valvula Danfoss TX2 R22 S/COMPENSADOR 068Z3206</v>
      </c>
      <c r="D552" s="71">
        <f>SUMIF(ENTRADAS!B:B,B552,ENTRADAS!D:D)</f>
        <v>3</v>
      </c>
      <c r="E552" s="71">
        <f>SUMIF(SALIDAS!B:B,B552,SALIDAS!D:D)</f>
        <v>2</v>
      </c>
      <c r="F552" s="89">
        <f t="shared" si="1"/>
        <v>1</v>
      </c>
      <c r="G552" s="90"/>
      <c r="H552" s="90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</row>
    <row r="553">
      <c r="A553" s="79"/>
      <c r="B553" s="88" t="s">
        <v>1875</v>
      </c>
      <c r="C553" s="71" t="str">
        <f>IFERROR(VLOOKUP(B553 ,INVENTARIO!B597:C1000,2,0),"")</f>
        <v>Tobera Danfoss T2 Nr.03 (1T R12/502-1.5T R22) 0682006</v>
      </c>
      <c r="D553" s="71">
        <f>SUMIF(ENTRADAS!B:B,B553,ENTRADAS!D:D)</f>
        <v>3</v>
      </c>
      <c r="E553" s="71">
        <f>SUMIF(SALIDAS!B:B,B553,SALIDAS!D:D)</f>
        <v>2</v>
      </c>
      <c r="F553" s="89">
        <f t="shared" si="1"/>
        <v>1</v>
      </c>
      <c r="G553" s="90"/>
      <c r="H553" s="90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</row>
    <row r="554">
      <c r="A554" s="79"/>
      <c r="B554" s="88" t="s">
        <v>1781</v>
      </c>
      <c r="C554" s="71" t="str">
        <f>IFERROR(VLOOKUP(B554 ,INVENTARIO!B598:C1000,2,0),"")</f>
        <v>Puntera color blanco ACETAL IZQ</v>
      </c>
      <c r="D554" s="71">
        <f>SUMIF(ENTRADAS!B:B,B554,ENTRADAS!D:D)</f>
        <v>200</v>
      </c>
      <c r="E554" s="71">
        <f>SUMIF(SALIDAS!B:B,B554,SALIDAS!D:D)</f>
        <v>0</v>
      </c>
      <c r="F554" s="89">
        <f t="shared" si="1"/>
        <v>200</v>
      </c>
      <c r="G554" s="90"/>
      <c r="H554" s="90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</row>
    <row r="555">
      <c r="A555" s="79"/>
      <c r="B555" s="88" t="s">
        <v>1775</v>
      </c>
      <c r="C555" s="71" t="str">
        <f>IFERROR(VLOOKUP(B555 ,INVENTARIO!B599:C1000,2,0),"")</f>
        <v>Piñ.Acetal blanco Z16 p.eje 1 1/2"</v>
      </c>
      <c r="D555" s="71">
        <f>SUMIF(ENTRADAS!B:B,B555,ENTRADAS!D:D)</f>
        <v>6</v>
      </c>
      <c r="E555" s="71">
        <f>SUMIF(SALIDAS!B:B,B555,SALIDAS!D:D)</f>
        <v>0</v>
      </c>
      <c r="F555" s="89">
        <f t="shared" si="1"/>
        <v>6</v>
      </c>
      <c r="G555" s="90"/>
      <c r="H555" s="90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</row>
    <row r="556">
      <c r="A556" s="79"/>
      <c r="B556" s="88" t="s">
        <v>564</v>
      </c>
      <c r="C556" s="71" t="str">
        <f>IFERROR(VLOOKUP(B556 ,INVENTARIO!B600:C1000,2,0),"")</f>
        <v/>
      </c>
      <c r="D556" s="71">
        <f>SUMIF(ENTRADAS!B:B,B556,ENTRADAS!D:D)</f>
        <v>1</v>
      </c>
      <c r="E556" s="71">
        <f>SUMIF(SALIDAS!B:B,B556,SALIDAS!D:D)</f>
        <v>0</v>
      </c>
      <c r="F556" s="89">
        <f t="shared" si="1"/>
        <v>1</v>
      </c>
      <c r="G556" s="90"/>
      <c r="H556" s="90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</row>
    <row r="557">
      <c r="A557" s="79"/>
      <c r="B557" s="88" t="s">
        <v>1396</v>
      </c>
      <c r="C557" s="71" t="str">
        <f>IFERROR(VLOOKUP(B557 ,INVENTARIO!B601:C1000,2,0),"")</f>
        <v>25-62-10</v>
      </c>
      <c r="D557" s="71">
        <f>SUMIF(ENTRADAS!B:B,B557,ENTRADAS!D:D)</f>
        <v>10</v>
      </c>
      <c r="E557" s="71">
        <f>SUMIF(SALIDAS!B:B,B557,SALIDAS!D:D)</f>
        <v>1</v>
      </c>
      <c r="F557" s="89">
        <f t="shared" si="1"/>
        <v>9</v>
      </c>
      <c r="G557" s="90"/>
      <c r="H557" s="90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</row>
    <row r="558">
      <c r="A558" s="79"/>
      <c r="B558" s="88" t="s">
        <v>1932</v>
      </c>
      <c r="C558" s="71" t="str">
        <f>IFERROR(VLOOKUP(B558 ,INVENTARIO!B602:C1000,2,0),"")</f>
        <v/>
      </c>
      <c r="D558" s="71">
        <f>SUMIF(ENTRADAS!B:B,B558,ENTRADAS!D:D)</f>
        <v>1</v>
      </c>
      <c r="E558" s="71">
        <f>SUMIF(SALIDAS!B:B,B558,SALIDAS!D:D)</f>
        <v>0</v>
      </c>
      <c r="F558" s="89">
        <f t="shared" si="1"/>
        <v>1</v>
      </c>
      <c r="G558" s="90"/>
      <c r="H558" s="90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</row>
    <row r="559">
      <c r="A559" s="79"/>
      <c r="B559" s="88" t="s">
        <v>1933</v>
      </c>
      <c r="C559" s="71" t="str">
        <f>IFERROR(VLOOKUP(B559 ,INVENTARIO!B603:C1000,2,0),"")</f>
        <v/>
      </c>
      <c r="D559" s="71">
        <f>SUMIF(ENTRADAS!B:B,B559,ENTRADAS!D:D)</f>
        <v>1</v>
      </c>
      <c r="E559" s="71">
        <f>SUMIF(SALIDAS!B:B,B559,SALIDAS!D:D)</f>
        <v>0</v>
      </c>
      <c r="F559" s="89">
        <f t="shared" si="1"/>
        <v>1</v>
      </c>
      <c r="G559" s="90"/>
      <c r="H559" s="90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</row>
    <row r="560">
      <c r="A560" s="79"/>
      <c r="B560" s="88"/>
      <c r="C560" s="71" t="str">
        <f>IFERROR(VLOOKUP(B560 ,INVENTARIO!B604:C1000,2,0),"")</f>
        <v/>
      </c>
      <c r="D560" s="71">
        <f>SUMIF(ENTRADAS!B:B,B560,ENTRADAS!D:D)</f>
        <v>0</v>
      </c>
      <c r="E560" s="71">
        <f>SUMIF(SALIDAS!B:B,B560,SALIDAS!D:D)</f>
        <v>0</v>
      </c>
      <c r="F560" s="89">
        <f t="shared" si="1"/>
        <v>0</v>
      </c>
      <c r="G560" s="90"/>
      <c r="H560" s="90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</row>
    <row r="561">
      <c r="A561" s="79"/>
      <c r="B561" s="88"/>
      <c r="C561" s="71" t="str">
        <f>IFERROR(VLOOKUP(B561 ,INVENTARIO!B605:C1000,2,0),"")</f>
        <v/>
      </c>
      <c r="D561" s="71">
        <f>SUMIF(ENTRADAS!B:B,B561,ENTRADAS!D:D)</f>
        <v>0</v>
      </c>
      <c r="E561" s="71">
        <f>SUMIF(SALIDAS!B:B,B561,SALIDAS!D:D)</f>
        <v>0</v>
      </c>
      <c r="F561" s="89">
        <f t="shared" si="1"/>
        <v>0</v>
      </c>
      <c r="G561" s="90"/>
      <c r="H561" s="90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</row>
    <row r="562">
      <c r="A562" s="79"/>
      <c r="B562" s="88"/>
      <c r="C562" s="71" t="str">
        <f>IFERROR(VLOOKUP(B562 ,INVENTARIO!B606:C1000,2,0),"")</f>
        <v/>
      </c>
      <c r="D562" s="71">
        <f>SUMIF(ENTRADAS!B:B,B562,ENTRADAS!D:D)</f>
        <v>0</v>
      </c>
      <c r="E562" s="71">
        <f>SUMIF(SALIDAS!B:B,B562,SALIDAS!D:D)</f>
        <v>0</v>
      </c>
      <c r="F562" s="89">
        <f t="shared" si="1"/>
        <v>0</v>
      </c>
      <c r="G562" s="90"/>
      <c r="H562" s="90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</row>
    <row r="563">
      <c r="A563" s="79"/>
      <c r="B563" s="88"/>
      <c r="C563" s="71" t="str">
        <f>IFERROR(VLOOKUP(B563 ,INVENTARIO!B607:C1000,2,0),"")</f>
        <v/>
      </c>
      <c r="D563" s="71">
        <f>SUMIF(ENTRADAS!B:B,B563,ENTRADAS!D:D)</f>
        <v>0</v>
      </c>
      <c r="E563" s="71">
        <f>SUMIF(SALIDAS!B:B,B563,SALIDAS!D:D)</f>
        <v>0</v>
      </c>
      <c r="F563" s="89">
        <f t="shared" si="1"/>
        <v>0</v>
      </c>
      <c r="G563" s="90"/>
      <c r="H563" s="90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</row>
    <row r="564">
      <c r="A564" s="79"/>
      <c r="B564" s="88"/>
      <c r="C564" s="71" t="str">
        <f>IFERROR(VLOOKUP(B564 ,INVENTARIO!B608:C1000,2,0),"")</f>
        <v/>
      </c>
      <c r="D564" s="71">
        <f>SUMIF(ENTRADAS!B:B,B564,ENTRADAS!D:D)</f>
        <v>0</v>
      </c>
      <c r="E564" s="71">
        <f>SUMIF(SALIDAS!B:B,B564,SALIDAS!D:D)</f>
        <v>0</v>
      </c>
      <c r="F564" s="89">
        <f t="shared" si="1"/>
        <v>0</v>
      </c>
      <c r="G564" s="90"/>
      <c r="H564" s="90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</row>
    <row r="565">
      <c r="A565" s="79"/>
      <c r="B565" s="88"/>
      <c r="C565" s="71" t="str">
        <f>IFERROR(VLOOKUP(B565 ,INVENTARIO!B609:C1000,2,0),"")</f>
        <v/>
      </c>
      <c r="D565" s="71">
        <f>SUMIF(ENTRADAS!B:B,B565,ENTRADAS!D:D)</f>
        <v>0</v>
      </c>
      <c r="E565" s="71">
        <f>SUMIF(SALIDAS!B:B,B565,SALIDAS!D:D)</f>
        <v>0</v>
      </c>
      <c r="F565" s="89">
        <f t="shared" si="1"/>
        <v>0</v>
      </c>
      <c r="G565" s="90"/>
      <c r="H565" s="90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</row>
    <row r="566">
      <c r="A566" s="79"/>
      <c r="B566" s="88"/>
      <c r="C566" s="71" t="str">
        <f>IFERROR(VLOOKUP(B566 ,INVENTARIO!B610:C1000,2,0),"")</f>
        <v/>
      </c>
      <c r="D566" s="71">
        <f>SUMIF(ENTRADAS!B:B,B566,ENTRADAS!D:D)</f>
        <v>0</v>
      </c>
      <c r="E566" s="71">
        <f>SUMIF(SALIDAS!B:B,B566,SALIDAS!D:D)</f>
        <v>0</v>
      </c>
      <c r="F566" s="89">
        <f t="shared" si="1"/>
        <v>0</v>
      </c>
      <c r="G566" s="90"/>
      <c r="H566" s="90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</row>
    <row r="567">
      <c r="A567" s="79"/>
      <c r="B567" s="88"/>
      <c r="C567" s="71" t="str">
        <f>IFERROR(VLOOKUP(B567 ,INVENTARIO!B611:C1000,2,0),"")</f>
        <v/>
      </c>
      <c r="D567" s="71">
        <f>SUMIF(ENTRADAS!B:B,B567,ENTRADAS!D:D)</f>
        <v>0</v>
      </c>
      <c r="E567" s="71">
        <f>SUMIF(SALIDAS!B:B,B567,SALIDAS!D:D)</f>
        <v>0</v>
      </c>
      <c r="F567" s="89">
        <f t="shared" si="1"/>
        <v>0</v>
      </c>
      <c r="G567" s="90"/>
      <c r="H567" s="90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</row>
    <row r="568">
      <c r="A568" s="79"/>
      <c r="B568" s="88"/>
      <c r="C568" s="71" t="str">
        <f>IFERROR(VLOOKUP(B568 ,INVENTARIO!B612:C1000,2,0),"")</f>
        <v/>
      </c>
      <c r="D568" s="71">
        <f>SUMIF(ENTRADAS!B:B,B568,ENTRADAS!D:D)</f>
        <v>0</v>
      </c>
      <c r="E568" s="71">
        <f>SUMIF(SALIDAS!B:B,B568,SALIDAS!D:D)</f>
        <v>0</v>
      </c>
      <c r="F568" s="89">
        <f t="shared" si="1"/>
        <v>0</v>
      </c>
      <c r="G568" s="90"/>
      <c r="H568" s="90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</row>
    <row r="569">
      <c r="A569" s="79"/>
      <c r="B569" s="88"/>
      <c r="C569" s="71" t="str">
        <f>IFERROR(VLOOKUP(B569 ,INVENTARIO!B613:C1000,2,0),"")</f>
        <v/>
      </c>
      <c r="D569" s="71">
        <f>SUMIF(ENTRADAS!B:B,B569,ENTRADAS!D:D)</f>
        <v>0</v>
      </c>
      <c r="E569" s="71">
        <f>SUMIF(SALIDAS!B:B,B569,SALIDAS!D:D)</f>
        <v>0</v>
      </c>
      <c r="F569" s="89">
        <f t="shared" si="1"/>
        <v>0</v>
      </c>
      <c r="G569" s="90"/>
      <c r="H569" s="90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</row>
    <row r="570">
      <c r="A570" s="79"/>
      <c r="B570" s="88"/>
      <c r="C570" s="71" t="str">
        <f>IFERROR(VLOOKUP(B570 ,INVENTARIO!B614:C1000,2,0),"")</f>
        <v/>
      </c>
      <c r="D570" s="71">
        <f>SUMIF(ENTRADAS!B:B,B570,ENTRADAS!D:D)</f>
        <v>0</v>
      </c>
      <c r="E570" s="71">
        <f>SUMIF(SALIDAS!B:B,B570,SALIDAS!D:D)</f>
        <v>0</v>
      </c>
      <c r="F570" s="89">
        <f t="shared" si="1"/>
        <v>0</v>
      </c>
      <c r="G570" s="90"/>
      <c r="H570" s="90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</row>
    <row r="571">
      <c r="A571" s="79"/>
      <c r="B571" s="88"/>
      <c r="C571" s="71" t="str">
        <f>IFERROR(VLOOKUP(B571 ,INVENTARIO!B617:C1000,2,0),"")</f>
        <v/>
      </c>
      <c r="D571" s="71">
        <f>SUMIF(ENTRADAS!B:B,B571,ENTRADAS!D:D)</f>
        <v>0</v>
      </c>
      <c r="E571" s="71">
        <f>SUMIF(SALIDAS!B:B,B571,SALIDAS!D:D)</f>
        <v>0</v>
      </c>
      <c r="F571" s="89">
        <f t="shared" si="1"/>
        <v>0</v>
      </c>
      <c r="G571" s="90"/>
      <c r="H571" s="90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</row>
    <row r="572">
      <c r="A572" s="79"/>
      <c r="B572" s="88"/>
      <c r="C572" s="71" t="str">
        <f>IFERROR(VLOOKUP(B572 ,INVENTARIO!B618:C1000,2,0),"")</f>
        <v/>
      </c>
      <c r="D572" s="71">
        <f>SUMIF(ENTRADAS!B:B,B572,ENTRADAS!D:D)</f>
        <v>0</v>
      </c>
      <c r="E572" s="71">
        <f>SUMIF(SALIDAS!B:B,B572,SALIDAS!D:D)</f>
        <v>0</v>
      </c>
      <c r="F572" s="89">
        <f t="shared" si="1"/>
        <v>0</v>
      </c>
      <c r="G572" s="90"/>
      <c r="H572" s="90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</row>
    <row r="573">
      <c r="A573" s="79"/>
      <c r="B573" s="88"/>
      <c r="C573" s="71" t="str">
        <f>IFERROR(VLOOKUP(B573 ,INVENTARIO!B619:C1000,2,0),"")</f>
        <v/>
      </c>
      <c r="D573" s="71">
        <f>SUMIF(ENTRADAS!B:B,B573,ENTRADAS!D:D)</f>
        <v>0</v>
      </c>
      <c r="E573" s="71">
        <f>SUMIF(SALIDAS!B:B,B573,SALIDAS!D:D)</f>
        <v>0</v>
      </c>
      <c r="F573" s="89">
        <f t="shared" si="1"/>
        <v>0</v>
      </c>
      <c r="G573" s="90"/>
      <c r="H573" s="90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</row>
    <row r="574">
      <c r="A574" s="79"/>
      <c r="B574" s="88"/>
      <c r="C574" s="71" t="str">
        <f>IFERROR(VLOOKUP(B574 ,INVENTARIO!B620:C1000,2,0),"")</f>
        <v/>
      </c>
      <c r="D574" s="71">
        <f>SUMIF(ENTRADAS!B:B,B574,ENTRADAS!D:D)</f>
        <v>0</v>
      </c>
      <c r="E574" s="71">
        <f>SUMIF(SALIDAS!B:B,B574,SALIDAS!D:D)</f>
        <v>0</v>
      </c>
      <c r="F574" s="89">
        <f t="shared" si="1"/>
        <v>0</v>
      </c>
      <c r="G574" s="90"/>
      <c r="H574" s="90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</row>
    <row r="575">
      <c r="A575" s="79"/>
      <c r="B575" s="88"/>
      <c r="C575" s="71" t="str">
        <f>IFERROR(VLOOKUP(B575 ,INVENTARIO!B621:C1000,2,0),"")</f>
        <v/>
      </c>
      <c r="D575" s="71">
        <f>SUMIF(ENTRADAS!B:B,B575,ENTRADAS!D:D)</f>
        <v>0</v>
      </c>
      <c r="E575" s="71">
        <f>SUMIF(SALIDAS!B:B,B575,SALIDAS!D:D)</f>
        <v>0</v>
      </c>
      <c r="F575" s="89">
        <f t="shared" si="1"/>
        <v>0</v>
      </c>
      <c r="G575" s="90"/>
      <c r="H575" s="90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</row>
    <row r="576">
      <c r="A576" s="79"/>
      <c r="B576" s="88"/>
      <c r="C576" s="71" t="str">
        <f>IFERROR(VLOOKUP(B576 ,INVENTARIO!B622:C1000,2,0),"")</f>
        <v/>
      </c>
      <c r="D576" s="71">
        <f>SUMIF(ENTRADAS!B:B,B576,ENTRADAS!D:D)</f>
        <v>0</v>
      </c>
      <c r="E576" s="71">
        <f>SUMIF(SALIDAS!B:B,B576,SALIDAS!D:D)</f>
        <v>0</v>
      </c>
      <c r="F576" s="89">
        <f t="shared" si="1"/>
        <v>0</v>
      </c>
      <c r="G576" s="90"/>
      <c r="H576" s="90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</row>
    <row r="577">
      <c r="A577" s="79"/>
      <c r="B577" s="88"/>
      <c r="C577" s="71" t="str">
        <f>IFERROR(VLOOKUP(B577 ,INVENTARIO!B623:C1000,2,0),"")</f>
        <v/>
      </c>
      <c r="D577" s="71">
        <f>SUMIF(ENTRADAS!B:B,B577,ENTRADAS!D:D)</f>
        <v>0</v>
      </c>
      <c r="E577" s="71">
        <f>SUMIF(SALIDAS!B:B,B577,SALIDAS!D:D)</f>
        <v>0</v>
      </c>
      <c r="F577" s="89">
        <f t="shared" si="1"/>
        <v>0</v>
      </c>
      <c r="G577" s="90"/>
      <c r="H577" s="90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</row>
    <row r="578">
      <c r="A578" s="79"/>
      <c r="B578" s="88"/>
      <c r="C578" s="71" t="str">
        <f>IFERROR(VLOOKUP(B578 ,INVENTARIO!B624:C1000,2,0),"")</f>
        <v/>
      </c>
      <c r="D578" s="71">
        <f>SUMIF(ENTRADAS!B:B,B578,ENTRADAS!D:D)</f>
        <v>0</v>
      </c>
      <c r="E578" s="71">
        <f>SUMIF(SALIDAS!B:B,B578,SALIDAS!D:D)</f>
        <v>0</v>
      </c>
      <c r="F578" s="89">
        <f t="shared" si="1"/>
        <v>0</v>
      </c>
      <c r="G578" s="90"/>
      <c r="H578" s="90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</row>
    <row r="579">
      <c r="A579" s="79"/>
      <c r="B579" s="88"/>
      <c r="C579" s="71" t="str">
        <f>IFERROR(VLOOKUP(B579 ,INVENTARIO!B625:C1000,2,0),"")</f>
        <v/>
      </c>
      <c r="D579" s="71">
        <f>SUMIF(ENTRADAS!B:B,B579,ENTRADAS!D:D)</f>
        <v>0</v>
      </c>
      <c r="E579" s="71">
        <f>SUMIF(SALIDAS!B:B,B579,SALIDAS!D:D)</f>
        <v>0</v>
      </c>
      <c r="F579" s="89">
        <f t="shared" si="1"/>
        <v>0</v>
      </c>
      <c r="G579" s="90"/>
      <c r="H579" s="90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</row>
    <row r="580">
      <c r="A580" s="79"/>
      <c r="B580" s="88"/>
      <c r="C580" s="71" t="str">
        <f>IFERROR(VLOOKUP(B580 ,INVENTARIO!B626:C1000,2,0),"")</f>
        <v/>
      </c>
      <c r="D580" s="71">
        <f>SUMIF(ENTRADAS!B:B,B580,ENTRADAS!D:D)</f>
        <v>0</v>
      </c>
      <c r="E580" s="71">
        <f>SUMIF(SALIDAS!B:B,B580,SALIDAS!D:D)</f>
        <v>0</v>
      </c>
      <c r="F580" s="89">
        <f t="shared" si="1"/>
        <v>0</v>
      </c>
      <c r="G580" s="90"/>
      <c r="H580" s="90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</row>
    <row r="581">
      <c r="A581" s="79"/>
      <c r="B581" s="88"/>
      <c r="C581" s="71" t="str">
        <f>IFERROR(VLOOKUP(B581 ,INVENTARIO!B627:C1000,2,0),"")</f>
        <v/>
      </c>
      <c r="D581" s="71">
        <f>SUMIF(ENTRADAS!B:B,B581,ENTRADAS!D:D)</f>
        <v>0</v>
      </c>
      <c r="E581" s="71">
        <f>SUMIF(SALIDAS!B:B,B581,SALIDAS!D:D)</f>
        <v>0</v>
      </c>
      <c r="F581" s="89">
        <f t="shared" si="1"/>
        <v>0</v>
      </c>
      <c r="G581" s="90"/>
      <c r="H581" s="90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</row>
    <row r="582">
      <c r="A582" s="79"/>
      <c r="B582" s="88"/>
      <c r="C582" s="71" t="str">
        <f>IFERROR(VLOOKUP(B582 ,INVENTARIO!B628:C1000,2,0),"")</f>
        <v/>
      </c>
      <c r="D582" s="71">
        <f>SUMIF(ENTRADAS!B:B,B582,ENTRADAS!D:D)</f>
        <v>0</v>
      </c>
      <c r="E582" s="71">
        <f>SUMIF(SALIDAS!B:B,B582,SALIDAS!D:D)</f>
        <v>0</v>
      </c>
      <c r="F582" s="89">
        <f t="shared" si="1"/>
        <v>0</v>
      </c>
      <c r="G582" s="90"/>
      <c r="H582" s="90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</row>
    <row r="583">
      <c r="A583" s="79"/>
      <c r="B583" s="88"/>
      <c r="C583" s="71" t="str">
        <f>IFERROR(VLOOKUP(B583 ,INVENTARIO!B629:C1000,2,0),"")</f>
        <v/>
      </c>
      <c r="D583" s="71">
        <f>SUMIF(ENTRADAS!B:B,B583,ENTRADAS!D:D)</f>
        <v>0</v>
      </c>
      <c r="E583" s="71">
        <f>SUMIF(SALIDAS!B:B,B583,SALIDAS!D:D)</f>
        <v>0</v>
      </c>
      <c r="F583" s="89">
        <f t="shared" si="1"/>
        <v>0</v>
      </c>
      <c r="G583" s="90"/>
      <c r="H583" s="90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</row>
    <row r="584">
      <c r="A584" s="79"/>
      <c r="B584" s="88"/>
      <c r="C584" s="71" t="str">
        <f>IFERROR(VLOOKUP(B584 ,INVENTARIO!B630:C1000,2,0),"")</f>
        <v/>
      </c>
      <c r="D584" s="71">
        <f>SUMIF(ENTRADAS!B:B,B584,ENTRADAS!D:D)</f>
        <v>0</v>
      </c>
      <c r="E584" s="71">
        <f>SUMIF(SALIDAS!B:B,B584,SALIDAS!D:D)</f>
        <v>0</v>
      </c>
      <c r="F584" s="89">
        <f t="shared" si="1"/>
        <v>0</v>
      </c>
      <c r="G584" s="90"/>
      <c r="H584" s="90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</row>
    <row r="585">
      <c r="A585" s="79"/>
      <c r="B585" s="88"/>
      <c r="C585" s="71" t="str">
        <f>IFERROR(VLOOKUP(B585 ,INVENTARIO!B631:C1000,2,0),"")</f>
        <v/>
      </c>
      <c r="D585" s="71">
        <f>SUMIF(ENTRADAS!B:B,B585,ENTRADAS!D:D)</f>
        <v>0</v>
      </c>
      <c r="E585" s="71">
        <f>SUMIF(SALIDAS!B:B,B585,SALIDAS!D:D)</f>
        <v>0</v>
      </c>
      <c r="F585" s="89">
        <f t="shared" si="1"/>
        <v>0</v>
      </c>
      <c r="G585" s="90"/>
      <c r="H585" s="90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</row>
    <row r="586">
      <c r="A586" s="79"/>
      <c r="B586" s="88"/>
      <c r="C586" s="71" t="str">
        <f>IFERROR(VLOOKUP(B586 ,INVENTARIO!B632:C1000,2,0),"")</f>
        <v/>
      </c>
      <c r="D586" s="71">
        <f>SUMIF(ENTRADAS!B:B,B586,ENTRADAS!D:D)</f>
        <v>0</v>
      </c>
      <c r="E586" s="71">
        <f>SUMIF(SALIDAS!B:B,B586,SALIDAS!D:D)</f>
        <v>0</v>
      </c>
      <c r="F586" s="89">
        <f t="shared" si="1"/>
        <v>0</v>
      </c>
      <c r="G586" s="90"/>
      <c r="H586" s="90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</row>
    <row r="587">
      <c r="A587" s="79"/>
      <c r="B587" s="88"/>
      <c r="C587" s="71" t="str">
        <f>IFERROR(VLOOKUP(B587 ,INVENTARIO!B633:C1000,2,0),"")</f>
        <v/>
      </c>
      <c r="D587" s="71">
        <f>SUMIF(ENTRADAS!B:B,B587,ENTRADAS!D:D)</f>
        <v>0</v>
      </c>
      <c r="E587" s="71">
        <f>SUMIF(SALIDAS!B:B,B587,SALIDAS!D:D)</f>
        <v>0</v>
      </c>
      <c r="F587" s="89">
        <f t="shared" si="1"/>
        <v>0</v>
      </c>
      <c r="G587" s="90"/>
      <c r="H587" s="90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</row>
    <row r="588">
      <c r="A588" s="79"/>
      <c r="B588" s="88"/>
      <c r="C588" s="71" t="str">
        <f>IFERROR(VLOOKUP(B588 ,INVENTARIO!B634:C1000,2,0),"")</f>
        <v/>
      </c>
      <c r="D588" s="71">
        <f>SUMIF(ENTRADAS!B:B,B588,ENTRADAS!D:D)</f>
        <v>0</v>
      </c>
      <c r="E588" s="71">
        <f>SUMIF(SALIDAS!B:B,B588,SALIDAS!D:D)</f>
        <v>0</v>
      </c>
      <c r="F588" s="89">
        <f t="shared" si="1"/>
        <v>0</v>
      </c>
      <c r="G588" s="90"/>
      <c r="H588" s="90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</row>
    <row r="589">
      <c r="A589" s="79"/>
      <c r="B589" s="88"/>
      <c r="C589" s="71" t="str">
        <f>IFERROR(VLOOKUP(B589 ,INVENTARIO!B635:C1000,2,0),"")</f>
        <v/>
      </c>
      <c r="D589" s="71">
        <f>SUMIF(ENTRADAS!B:B,B589,ENTRADAS!D:D)</f>
        <v>0</v>
      </c>
      <c r="E589" s="71">
        <f>SUMIF(SALIDAS!B:B,B589,SALIDAS!D:D)</f>
        <v>0</v>
      </c>
      <c r="F589" s="89">
        <f t="shared" si="1"/>
        <v>0</v>
      </c>
      <c r="G589" s="90"/>
      <c r="H589" s="90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</row>
    <row r="590">
      <c r="A590" s="79"/>
      <c r="B590" s="88"/>
      <c r="C590" s="71" t="str">
        <f>IFERROR(VLOOKUP(B590 ,INVENTARIO!B636:C1000,2,0),"")</f>
        <v/>
      </c>
      <c r="D590" s="71">
        <f>SUMIF(ENTRADAS!B:B,B590,ENTRADAS!D:D)</f>
        <v>0</v>
      </c>
      <c r="E590" s="71">
        <f>SUMIF(SALIDAS!B:B,B590,SALIDAS!D:D)</f>
        <v>0</v>
      </c>
      <c r="F590" s="89">
        <f t="shared" si="1"/>
        <v>0</v>
      </c>
      <c r="G590" s="90"/>
      <c r="H590" s="90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</row>
    <row r="591">
      <c r="A591" s="79"/>
      <c r="B591" s="88"/>
      <c r="C591" s="71" t="str">
        <f>IFERROR(VLOOKUP(B591 ,INVENTARIO!B637:C1000,2,0),"")</f>
        <v/>
      </c>
      <c r="D591" s="71">
        <f>SUMIF(ENTRADAS!B:B,B591,ENTRADAS!D:D)</f>
        <v>0</v>
      </c>
      <c r="E591" s="71">
        <f>SUMIF(SALIDAS!B:B,B591,SALIDAS!D:D)</f>
        <v>0</v>
      </c>
      <c r="F591" s="89">
        <f t="shared" si="1"/>
        <v>0</v>
      </c>
      <c r="G591" s="90"/>
      <c r="H591" s="90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</row>
    <row r="592">
      <c r="A592" s="79"/>
      <c r="B592" s="88"/>
      <c r="C592" s="71" t="str">
        <f>IFERROR(VLOOKUP(B592 ,INVENTARIO!B638:C1000,2,0),"")</f>
        <v/>
      </c>
      <c r="D592" s="71">
        <f>SUMIF(ENTRADAS!B:B,B592,ENTRADAS!D:D)</f>
        <v>0</v>
      </c>
      <c r="E592" s="71">
        <f>SUMIF(SALIDAS!B:B,B592,SALIDAS!D:D)</f>
        <v>0</v>
      </c>
      <c r="F592" s="89">
        <f t="shared" si="1"/>
        <v>0</v>
      </c>
      <c r="G592" s="90"/>
      <c r="H592" s="90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</row>
    <row r="593">
      <c r="A593" s="79"/>
      <c r="B593" s="88"/>
      <c r="C593" s="71" t="str">
        <f>IFERROR(VLOOKUP(B593 ,INVENTARIO!B639:C1000,2,0),"")</f>
        <v/>
      </c>
      <c r="D593" s="71">
        <f>SUMIF(ENTRADAS!B:B,B593,ENTRADAS!D:D)</f>
        <v>0</v>
      </c>
      <c r="E593" s="71">
        <f>SUMIF(SALIDAS!B:B,B593,SALIDAS!D:D)</f>
        <v>0</v>
      </c>
      <c r="F593" s="89">
        <f t="shared" si="1"/>
        <v>0</v>
      </c>
      <c r="G593" s="90"/>
      <c r="H593" s="90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</row>
    <row r="594">
      <c r="A594" s="79"/>
      <c r="B594" s="88"/>
      <c r="C594" s="71" t="str">
        <f>IFERROR(VLOOKUP(B594 ,INVENTARIO!B640:C1000,2,0),"")</f>
        <v/>
      </c>
      <c r="D594" s="71">
        <f>SUMIF(ENTRADAS!B:B,B594,ENTRADAS!D:D)</f>
        <v>0</v>
      </c>
      <c r="E594" s="71">
        <f>SUMIF(SALIDAS!B:B,B594,SALIDAS!D:D)</f>
        <v>0</v>
      </c>
      <c r="F594" s="89">
        <f t="shared" si="1"/>
        <v>0</v>
      </c>
      <c r="G594" s="90"/>
      <c r="H594" s="90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</row>
    <row r="595">
      <c r="A595" s="79"/>
      <c r="B595" s="88"/>
      <c r="C595" s="71" t="str">
        <f>IFERROR(VLOOKUP(B595 ,INVENTARIO!B641:C1000,2,0),"")</f>
        <v/>
      </c>
      <c r="D595" s="71">
        <f>SUMIF(ENTRADAS!B:B,B595,ENTRADAS!D:D)</f>
        <v>0</v>
      </c>
      <c r="E595" s="71">
        <f>SUMIF(SALIDAS!B:B,B595,SALIDAS!D:D)</f>
        <v>0</v>
      </c>
      <c r="F595" s="89">
        <f t="shared" si="1"/>
        <v>0</v>
      </c>
      <c r="G595" s="90"/>
      <c r="H595" s="90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</row>
    <row r="596">
      <c r="A596" s="79"/>
      <c r="B596" s="88"/>
      <c r="C596" s="71" t="str">
        <f>IFERROR(VLOOKUP(B596 ,INVENTARIO!B642:C1000,2,0),"")</f>
        <v/>
      </c>
      <c r="D596" s="71">
        <f>SUMIF(ENTRADAS!B:B,B596,ENTRADAS!D:D)</f>
        <v>0</v>
      </c>
      <c r="E596" s="71">
        <f>SUMIF(SALIDAS!B:B,B596,SALIDAS!D:D)</f>
        <v>0</v>
      </c>
      <c r="F596" s="89">
        <f t="shared" si="1"/>
        <v>0</v>
      </c>
      <c r="G596" s="90"/>
      <c r="H596" s="90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</row>
    <row r="597">
      <c r="A597" s="79"/>
      <c r="B597" s="88"/>
      <c r="C597" s="71" t="str">
        <f>IFERROR(VLOOKUP(B597 ,INVENTARIO!B643:C1000,2,0),"")</f>
        <v/>
      </c>
      <c r="D597" s="71">
        <f>SUMIF(ENTRADAS!B:B,B597,ENTRADAS!D:D)</f>
        <v>0</v>
      </c>
      <c r="E597" s="71">
        <f>SUMIF(SALIDAS!B:B,B597,SALIDAS!D:D)</f>
        <v>0</v>
      </c>
      <c r="F597" s="89">
        <f t="shared" si="1"/>
        <v>0</v>
      </c>
      <c r="G597" s="90"/>
      <c r="H597" s="90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</row>
    <row r="598">
      <c r="A598" s="79"/>
      <c r="B598" s="88"/>
      <c r="C598" s="71" t="str">
        <f>IFERROR(VLOOKUP(B598 ,INVENTARIO!B644:C1000,2,0),"")</f>
        <v/>
      </c>
      <c r="D598" s="71">
        <f>SUMIF(ENTRADAS!B:B,B598,ENTRADAS!D:D)</f>
        <v>0</v>
      </c>
      <c r="E598" s="71">
        <f>SUMIF(SALIDAS!B:B,B598,SALIDAS!D:D)</f>
        <v>0</v>
      </c>
      <c r="F598" s="89">
        <f t="shared" si="1"/>
        <v>0</v>
      </c>
      <c r="G598" s="90"/>
      <c r="H598" s="90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</row>
    <row r="599">
      <c r="A599" s="79"/>
      <c r="B599" s="88"/>
      <c r="C599" s="71" t="str">
        <f>IFERROR(VLOOKUP(B599 ,INVENTARIO!B645:C1000,2,0),"")</f>
        <v/>
      </c>
      <c r="D599" s="71">
        <f>SUMIF(ENTRADAS!B:B,B599,ENTRADAS!D:D)</f>
        <v>0</v>
      </c>
      <c r="E599" s="71">
        <f>SUMIF(SALIDAS!B:B,B599,SALIDAS!D:D)</f>
        <v>0</v>
      </c>
      <c r="F599" s="89">
        <f t="shared" si="1"/>
        <v>0</v>
      </c>
      <c r="G599" s="90"/>
      <c r="H599" s="90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</row>
    <row r="600">
      <c r="A600" s="79"/>
      <c r="B600" s="88"/>
      <c r="C600" s="71" t="str">
        <f>IFERROR(VLOOKUP(B600 ,INVENTARIO!B647:C1000,2,0),"")</f>
        <v/>
      </c>
      <c r="D600" s="71">
        <f>SUMIF(ENTRADAS!B:B,B600,ENTRADAS!D:D)</f>
        <v>0</v>
      </c>
      <c r="E600" s="71">
        <f>SUMIF(SALIDAS!B:B,B600,SALIDAS!D:D)</f>
        <v>0</v>
      </c>
      <c r="F600" s="89">
        <f t="shared" si="1"/>
        <v>0</v>
      </c>
      <c r="G600" s="90"/>
      <c r="H600" s="90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</row>
    <row r="601">
      <c r="A601" s="79"/>
      <c r="B601" s="88"/>
      <c r="C601" s="71" t="str">
        <f>IFERROR(VLOOKUP(B601 ,INVENTARIO!B650:C1000,2,0),"")</f>
        <v/>
      </c>
      <c r="D601" s="71">
        <f>SUMIF(ENTRADAS!B:B,B601,ENTRADAS!D:D)</f>
        <v>0</v>
      </c>
      <c r="E601" s="71">
        <f>SUMIF(SALIDAS!B:B,B601,SALIDAS!D:D)</f>
        <v>0</v>
      </c>
      <c r="F601" s="89">
        <f t="shared" si="1"/>
        <v>0</v>
      </c>
      <c r="G601" s="90"/>
      <c r="H601" s="90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</row>
    <row r="602">
      <c r="A602" s="79"/>
      <c r="B602" s="88"/>
      <c r="C602" s="71" t="str">
        <f>IFERROR(VLOOKUP(B602 ,INVENTARIO!B651:C1000,2,0),"")</f>
        <v/>
      </c>
      <c r="D602" s="71">
        <f>SUMIF(ENTRADAS!B:B,B602,ENTRADAS!D:D)</f>
        <v>0</v>
      </c>
      <c r="E602" s="71">
        <f>SUMIF(SALIDAS!B:B,B602,SALIDAS!D:D)</f>
        <v>0</v>
      </c>
      <c r="F602" s="89">
        <f t="shared" si="1"/>
        <v>0</v>
      </c>
      <c r="G602" s="90"/>
      <c r="H602" s="90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</row>
    <row r="603">
      <c r="A603" s="79"/>
      <c r="B603" s="88"/>
      <c r="C603" s="71" t="str">
        <f>IFERROR(VLOOKUP(B603 ,INVENTARIO!B653:C1000,2,0),"")</f>
        <v/>
      </c>
      <c r="D603" s="71">
        <f>SUMIF(ENTRADAS!B:B,B603,ENTRADAS!D:D)</f>
        <v>0</v>
      </c>
      <c r="E603" s="71">
        <f>SUMIF(SALIDAS!B:B,B603,SALIDAS!D:D)</f>
        <v>0</v>
      </c>
      <c r="F603" s="89">
        <f t="shared" si="1"/>
        <v>0</v>
      </c>
      <c r="G603" s="90"/>
      <c r="H603" s="90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</row>
    <row r="604">
      <c r="A604" s="79"/>
      <c r="B604" s="88"/>
      <c r="C604" s="71" t="str">
        <f>IFERROR(VLOOKUP(B604 ,INVENTARIO!B654:C1000,2,0),"")</f>
        <v/>
      </c>
      <c r="D604" s="71">
        <f>SUMIF(ENTRADAS!B:B,B604,ENTRADAS!D:D)</f>
        <v>0</v>
      </c>
      <c r="E604" s="71">
        <f>SUMIF(SALIDAS!B:B,B604,SALIDAS!D:D)</f>
        <v>0</v>
      </c>
      <c r="F604" s="89">
        <f t="shared" si="1"/>
        <v>0</v>
      </c>
      <c r="G604" s="90"/>
      <c r="H604" s="90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</row>
    <row r="605">
      <c r="A605" s="79"/>
      <c r="B605" s="88"/>
      <c r="C605" s="71" t="str">
        <f>IFERROR(VLOOKUP(B605 ,INVENTARIO!B655:C1000,2,0),"")</f>
        <v/>
      </c>
      <c r="D605" s="71">
        <f>SUMIF(ENTRADAS!B:B,B605,ENTRADAS!D:D)</f>
        <v>0</v>
      </c>
      <c r="E605" s="71">
        <f>SUMIF(SALIDAS!B:B,B605,SALIDAS!D:D)</f>
        <v>0</v>
      </c>
      <c r="F605" s="89">
        <f t="shared" si="1"/>
        <v>0</v>
      </c>
      <c r="G605" s="90"/>
      <c r="H605" s="90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</row>
    <row r="606">
      <c r="A606" s="79"/>
      <c r="B606" s="88"/>
      <c r="C606" s="71" t="str">
        <f>IFERROR(VLOOKUP(B606 ,INVENTARIO!B656:C1000,2,0),"")</f>
        <v/>
      </c>
      <c r="D606" s="71">
        <f>SUMIF(ENTRADAS!B:B,B606,ENTRADAS!D:D)</f>
        <v>0</v>
      </c>
      <c r="E606" s="71">
        <f>SUMIF(SALIDAS!B:B,B606,SALIDAS!D:D)</f>
        <v>0</v>
      </c>
      <c r="F606" s="89">
        <f t="shared" si="1"/>
        <v>0</v>
      </c>
      <c r="G606" s="90"/>
      <c r="H606" s="90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</row>
    <row r="607">
      <c r="A607" s="79"/>
      <c r="B607" s="88"/>
      <c r="C607" s="71" t="str">
        <f>IFERROR(VLOOKUP(B607 ,INVENTARIO!B657:C1000,2,0),"")</f>
        <v/>
      </c>
      <c r="D607" s="71">
        <f>SUMIF(ENTRADAS!B:B,B607,ENTRADAS!D:D)</f>
        <v>0</v>
      </c>
      <c r="E607" s="71">
        <f>SUMIF(SALIDAS!B:B,B607,SALIDAS!D:D)</f>
        <v>0</v>
      </c>
      <c r="F607" s="89">
        <f t="shared" si="1"/>
        <v>0</v>
      </c>
      <c r="G607" s="90"/>
      <c r="H607" s="90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</row>
    <row r="608">
      <c r="A608" s="79"/>
      <c r="B608" s="88"/>
      <c r="C608" s="71" t="str">
        <f>IFERROR(VLOOKUP(B608 ,INVENTARIO!B658:C1000,2,0),"")</f>
        <v/>
      </c>
      <c r="D608" s="71">
        <f>SUMIF(ENTRADAS!B:B,B608,ENTRADAS!D:D)</f>
        <v>0</v>
      </c>
      <c r="E608" s="71">
        <f>SUMIF(SALIDAS!B:B,B608,SALIDAS!D:D)</f>
        <v>0</v>
      </c>
      <c r="F608" s="89">
        <f t="shared" si="1"/>
        <v>0</v>
      </c>
      <c r="G608" s="90"/>
      <c r="H608" s="90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</row>
    <row r="609">
      <c r="A609" s="79"/>
      <c r="B609" s="88"/>
      <c r="C609" s="71" t="str">
        <f>IFERROR(VLOOKUP(B609 ,INVENTARIO!B659:C1000,2,0),"")</f>
        <v/>
      </c>
      <c r="D609" s="71">
        <f>SUMIF(ENTRADAS!B:B,B609,ENTRADAS!D:D)</f>
        <v>0</v>
      </c>
      <c r="E609" s="71">
        <f>SUMIF(SALIDAS!B:B,B609,SALIDAS!D:D)</f>
        <v>0</v>
      </c>
      <c r="F609" s="89">
        <f t="shared" si="1"/>
        <v>0</v>
      </c>
      <c r="G609" s="90"/>
      <c r="H609" s="90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</row>
    <row r="610">
      <c r="A610" s="79"/>
      <c r="B610" s="88"/>
      <c r="C610" s="71" t="str">
        <f>IFERROR(VLOOKUP(B610 ,INVENTARIO!B660:C1000,2,0),"")</f>
        <v/>
      </c>
      <c r="D610" s="71">
        <f>SUMIF(ENTRADAS!B:B,B610,ENTRADAS!D:D)</f>
        <v>0</v>
      </c>
      <c r="E610" s="71">
        <f>SUMIF(SALIDAS!B:B,B610,SALIDAS!D:D)</f>
        <v>0</v>
      </c>
      <c r="F610" s="89">
        <f t="shared" si="1"/>
        <v>0</v>
      </c>
      <c r="G610" s="90"/>
      <c r="H610" s="90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</row>
    <row r="611">
      <c r="A611" s="79"/>
      <c r="B611" s="88"/>
      <c r="C611" s="71" t="str">
        <f>IFERROR(VLOOKUP(B611 ,INVENTARIO!B661:C1000,2,0),"")</f>
        <v/>
      </c>
      <c r="D611" s="71">
        <f>SUMIF(ENTRADAS!B:B,B611,ENTRADAS!D:D)</f>
        <v>0</v>
      </c>
      <c r="E611" s="71">
        <f>SUMIF(SALIDAS!B:B,B611,SALIDAS!D:D)</f>
        <v>0</v>
      </c>
      <c r="F611" s="89">
        <f t="shared" si="1"/>
        <v>0</v>
      </c>
      <c r="G611" s="90"/>
      <c r="H611" s="90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</row>
    <row r="612">
      <c r="A612" s="79"/>
      <c r="B612" s="88"/>
      <c r="C612" s="71" t="str">
        <f>IFERROR(VLOOKUP(B612 ,INVENTARIO!B663:C1000,2,0),"")</f>
        <v/>
      </c>
      <c r="D612" s="71">
        <f>SUMIF(ENTRADAS!B:B,B612,ENTRADAS!D:D)</f>
        <v>0</v>
      </c>
      <c r="E612" s="71">
        <f>SUMIF(SALIDAS!B:B,B612,SALIDAS!D:D)</f>
        <v>0</v>
      </c>
      <c r="F612" s="89">
        <f t="shared" si="1"/>
        <v>0</v>
      </c>
      <c r="G612" s="90"/>
      <c r="H612" s="90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</row>
    <row r="613">
      <c r="A613" s="79"/>
      <c r="B613" s="88"/>
      <c r="C613" s="71" t="str">
        <f>IFERROR(VLOOKUP(B613 ,INVENTARIO!B664:C1000,2,0),"")</f>
        <v/>
      </c>
      <c r="D613" s="71">
        <f>SUMIF(ENTRADAS!B:B,B613,ENTRADAS!D:D)</f>
        <v>0</v>
      </c>
      <c r="E613" s="71">
        <f>SUMIF(SALIDAS!B:B,B613,SALIDAS!D:D)</f>
        <v>0</v>
      </c>
      <c r="F613" s="89">
        <f t="shared" si="1"/>
        <v>0</v>
      </c>
      <c r="G613" s="90"/>
      <c r="H613" s="90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</row>
    <row r="614">
      <c r="A614" s="79"/>
      <c r="B614" s="88"/>
      <c r="C614" s="71" t="str">
        <f>IFERROR(VLOOKUP(B614 ,INVENTARIO!B665:C1000,2,0),"")</f>
        <v/>
      </c>
      <c r="D614" s="71">
        <f>SUMIF(ENTRADAS!B:B,B614,ENTRADAS!D:D)</f>
        <v>0</v>
      </c>
      <c r="E614" s="71">
        <f>SUMIF(SALIDAS!B:B,B614,SALIDAS!D:D)</f>
        <v>0</v>
      </c>
      <c r="F614" s="89">
        <f t="shared" si="1"/>
        <v>0</v>
      </c>
      <c r="G614" s="90"/>
      <c r="H614" s="90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</row>
    <row r="615">
      <c r="A615" s="79"/>
      <c r="B615" s="88"/>
      <c r="C615" s="71" t="str">
        <f>IFERROR(VLOOKUP(B615 ,INVENTARIO!B668:C1000,2,0),"")</f>
        <v/>
      </c>
      <c r="D615" s="71">
        <f>SUMIF(ENTRADAS!B:B,B615,ENTRADAS!D:D)</f>
        <v>0</v>
      </c>
      <c r="E615" s="71">
        <f>SUMIF(SALIDAS!B:B,B615,SALIDAS!D:D)</f>
        <v>0</v>
      </c>
      <c r="F615" s="89">
        <f t="shared" si="1"/>
        <v>0</v>
      </c>
      <c r="G615" s="90"/>
      <c r="H615" s="90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</row>
    <row r="616">
      <c r="A616" s="79"/>
      <c r="B616" s="88"/>
      <c r="C616" s="71" t="str">
        <f>IFERROR(VLOOKUP(B616 ,INVENTARIO!B669:C1000,2,0),"")</f>
        <v/>
      </c>
      <c r="D616" s="71">
        <f>SUMIF(ENTRADAS!B:B,B616,ENTRADAS!D:D)</f>
        <v>0</v>
      </c>
      <c r="E616" s="71">
        <f>SUMIF(SALIDAS!B:B,B616,SALIDAS!D:D)</f>
        <v>0</v>
      </c>
      <c r="F616" s="89">
        <f t="shared" si="1"/>
        <v>0</v>
      </c>
      <c r="G616" s="90"/>
      <c r="H616" s="90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</row>
    <row r="617">
      <c r="A617" s="79"/>
      <c r="B617" s="88"/>
      <c r="C617" s="71" t="str">
        <f>IFERROR(VLOOKUP(B617 ,INVENTARIO!B670:C1000,2,0),"")</f>
        <v/>
      </c>
      <c r="D617" s="71">
        <f>SUMIF(ENTRADAS!B:B,B617,ENTRADAS!D:D)</f>
        <v>0</v>
      </c>
      <c r="E617" s="71">
        <f>SUMIF(SALIDAS!B:B,B617,SALIDAS!D:D)</f>
        <v>0</v>
      </c>
      <c r="F617" s="89">
        <f t="shared" si="1"/>
        <v>0</v>
      </c>
      <c r="G617" s="90"/>
      <c r="H617" s="90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</row>
    <row r="618">
      <c r="A618" s="79"/>
      <c r="B618" s="88"/>
      <c r="C618" s="71" t="str">
        <f>IFERROR(VLOOKUP(B618 ,INVENTARIO!B671:C1000,2,0),"")</f>
        <v/>
      </c>
      <c r="D618" s="71">
        <f>SUMIF(ENTRADAS!B:B,B618,ENTRADAS!D:D)</f>
        <v>0</v>
      </c>
      <c r="E618" s="71">
        <f>SUMIF(SALIDAS!B:B,B618,SALIDAS!D:D)</f>
        <v>0</v>
      </c>
      <c r="F618" s="89">
        <f t="shared" si="1"/>
        <v>0</v>
      </c>
      <c r="G618" s="90"/>
      <c r="H618" s="90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</row>
    <row r="619">
      <c r="A619" s="79"/>
      <c r="B619" s="88"/>
      <c r="C619" s="71" t="str">
        <f>IFERROR(VLOOKUP(B619 ,INVENTARIO!B672:C1000,2,0),"")</f>
        <v/>
      </c>
      <c r="D619" s="71">
        <f>SUMIF(ENTRADAS!B:B,B619,ENTRADAS!D:D)</f>
        <v>0</v>
      </c>
      <c r="E619" s="71">
        <f>SUMIF(SALIDAS!B:B,B619,SALIDAS!D:D)</f>
        <v>0</v>
      </c>
      <c r="F619" s="89">
        <f t="shared" si="1"/>
        <v>0</v>
      </c>
      <c r="G619" s="90"/>
      <c r="H619" s="90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</row>
    <row r="620">
      <c r="A620" s="79"/>
      <c r="B620" s="88"/>
      <c r="C620" s="71" t="str">
        <f>IFERROR(VLOOKUP(B620 ,INVENTARIO!B673:C1000,2,0),"")</f>
        <v/>
      </c>
      <c r="D620" s="71">
        <f>SUMIF(ENTRADAS!B:B,B620,ENTRADAS!D:D)</f>
        <v>0</v>
      </c>
      <c r="E620" s="71">
        <f>SUMIF(SALIDAS!B:B,B620,SALIDAS!D:D)</f>
        <v>0</v>
      </c>
      <c r="F620" s="89">
        <f t="shared" si="1"/>
        <v>0</v>
      </c>
      <c r="G620" s="90"/>
      <c r="H620" s="90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</row>
    <row r="621">
      <c r="A621" s="79"/>
      <c r="B621" s="88"/>
      <c r="C621" s="71" t="str">
        <f>IFERROR(VLOOKUP(B621 ,INVENTARIO!B674:C1000,2,0),"")</f>
        <v/>
      </c>
      <c r="D621" s="71">
        <f>SUMIF(ENTRADAS!B:B,B621,ENTRADAS!D:D)</f>
        <v>0</v>
      </c>
      <c r="E621" s="71">
        <f>SUMIF(SALIDAS!B:B,B621,SALIDAS!D:D)</f>
        <v>0</v>
      </c>
      <c r="F621" s="89">
        <f t="shared" si="1"/>
        <v>0</v>
      </c>
      <c r="G621" s="90"/>
      <c r="H621" s="90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</row>
    <row r="622">
      <c r="A622" s="79"/>
      <c r="B622" s="88"/>
      <c r="C622" s="71" t="str">
        <f>IFERROR(VLOOKUP(B622 ,INVENTARIO!B675:C1000,2,0),"")</f>
        <v/>
      </c>
      <c r="D622" s="71">
        <f>SUMIF(ENTRADAS!B:B,B622,ENTRADAS!D:D)</f>
        <v>0</v>
      </c>
      <c r="E622" s="71">
        <f>SUMIF(SALIDAS!B:B,B622,SALIDAS!D:D)</f>
        <v>0</v>
      </c>
      <c r="F622" s="89">
        <f t="shared" si="1"/>
        <v>0</v>
      </c>
      <c r="G622" s="90"/>
      <c r="H622" s="90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</row>
    <row r="623">
      <c r="A623" s="79"/>
      <c r="B623" s="88"/>
      <c r="C623" s="71" t="str">
        <f>IFERROR(VLOOKUP(B623 ,INVENTARIO!B676:C1000,2,0),"")</f>
        <v/>
      </c>
      <c r="D623" s="71">
        <f>SUMIF(ENTRADAS!B:B,B623,ENTRADAS!D:D)</f>
        <v>0</v>
      </c>
      <c r="E623" s="71">
        <f>SUMIF(SALIDAS!B:B,B623,SALIDAS!D:D)</f>
        <v>0</v>
      </c>
      <c r="F623" s="89">
        <f t="shared" si="1"/>
        <v>0</v>
      </c>
      <c r="G623" s="90"/>
      <c r="H623" s="90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</row>
    <row r="624">
      <c r="A624" s="79"/>
      <c r="B624" s="88"/>
      <c r="C624" s="71" t="str">
        <f>IFERROR(VLOOKUP(B624 ,INVENTARIO!B677:C1000,2,0),"")</f>
        <v/>
      </c>
      <c r="D624" s="71">
        <f>SUMIF(ENTRADAS!B:B,B624,ENTRADAS!D:D)</f>
        <v>0</v>
      </c>
      <c r="E624" s="71">
        <f>SUMIF(SALIDAS!B:B,B624,SALIDAS!D:D)</f>
        <v>0</v>
      </c>
      <c r="F624" s="89">
        <f t="shared" si="1"/>
        <v>0</v>
      </c>
      <c r="G624" s="90"/>
      <c r="H624" s="90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</row>
    <row r="625">
      <c r="A625" s="79"/>
      <c r="B625" s="88"/>
      <c r="C625" s="71" t="str">
        <f>IFERROR(VLOOKUP(B625 ,INVENTARIO!B678:C1000,2,0),"")</f>
        <v/>
      </c>
      <c r="D625" s="71">
        <f>SUMIF(ENTRADAS!B:B,B625,ENTRADAS!D:D)</f>
        <v>0</v>
      </c>
      <c r="E625" s="71">
        <f>SUMIF(SALIDAS!B:B,B625,SALIDAS!D:D)</f>
        <v>0</v>
      </c>
      <c r="F625" s="89">
        <f t="shared" si="1"/>
        <v>0</v>
      </c>
      <c r="G625" s="90"/>
      <c r="H625" s="90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</row>
    <row r="626">
      <c r="A626" s="79"/>
      <c r="B626" s="88"/>
      <c r="C626" s="71" t="str">
        <f>IFERROR(VLOOKUP(B626 ,INVENTARIO!B679:C1000,2,0),"")</f>
        <v/>
      </c>
      <c r="D626" s="71">
        <f>SUMIF(ENTRADAS!B:B,B626,ENTRADAS!D:D)</f>
        <v>0</v>
      </c>
      <c r="E626" s="71">
        <f>SUMIF(SALIDAS!B:B,B626,SALIDAS!D:D)</f>
        <v>0</v>
      </c>
      <c r="F626" s="89">
        <f t="shared" si="1"/>
        <v>0</v>
      </c>
      <c r="G626" s="90"/>
      <c r="H626" s="90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</row>
    <row r="627">
      <c r="A627" s="79"/>
      <c r="B627" s="88"/>
      <c r="C627" s="71" t="str">
        <f>IFERROR(VLOOKUP(B627 ,INVENTARIO!B680:C1000,2,0),"")</f>
        <v/>
      </c>
      <c r="D627" s="71">
        <f>SUMIF(ENTRADAS!B:B,B627,ENTRADAS!D:D)</f>
        <v>0</v>
      </c>
      <c r="E627" s="71">
        <f>SUMIF(SALIDAS!B:B,B627,SALIDAS!D:D)</f>
        <v>0</v>
      </c>
      <c r="F627" s="89">
        <f t="shared" si="1"/>
        <v>0</v>
      </c>
      <c r="G627" s="90"/>
      <c r="H627" s="90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</row>
    <row r="628">
      <c r="A628" s="79"/>
      <c r="B628" s="88"/>
      <c r="C628" s="71" t="str">
        <f>IFERROR(VLOOKUP(B628 ,INVENTARIO!B681:C1000,2,0),"")</f>
        <v/>
      </c>
      <c r="D628" s="71">
        <f>SUMIF(ENTRADAS!B:B,B628,ENTRADAS!D:D)</f>
        <v>0</v>
      </c>
      <c r="E628" s="71">
        <f>SUMIF(SALIDAS!B:B,B628,SALIDAS!D:D)</f>
        <v>0</v>
      </c>
      <c r="F628" s="89">
        <f t="shared" si="1"/>
        <v>0</v>
      </c>
      <c r="G628" s="90"/>
      <c r="H628" s="90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</row>
    <row r="629">
      <c r="A629" s="79"/>
      <c r="B629" s="88"/>
      <c r="C629" s="71" t="str">
        <f>IFERROR(VLOOKUP(B629 ,INVENTARIO!B682:C1000,2,0),"")</f>
        <v/>
      </c>
      <c r="D629" s="71">
        <f>SUMIF(ENTRADAS!B:B,B629,ENTRADAS!D:D)</f>
        <v>0</v>
      </c>
      <c r="E629" s="71">
        <f>SUMIF(SALIDAS!B:B,B629,SALIDAS!D:D)</f>
        <v>0</v>
      </c>
      <c r="F629" s="89">
        <f t="shared" si="1"/>
        <v>0</v>
      </c>
      <c r="G629" s="90"/>
      <c r="H629" s="90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</row>
    <row r="630">
      <c r="A630" s="79"/>
      <c r="B630" s="88"/>
      <c r="C630" s="71" t="str">
        <f>IFERROR(VLOOKUP(B630 ,INVENTARIO!B683:C1000,2,0),"")</f>
        <v/>
      </c>
      <c r="D630" s="71">
        <f>SUMIF(ENTRADAS!B:B,B630,ENTRADAS!D:D)</f>
        <v>0</v>
      </c>
      <c r="E630" s="71">
        <f>SUMIF(SALIDAS!B:B,B630,SALIDAS!D:D)</f>
        <v>0</v>
      </c>
      <c r="F630" s="89">
        <f t="shared" si="1"/>
        <v>0</v>
      </c>
      <c r="G630" s="90"/>
      <c r="H630" s="90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</row>
    <row r="631">
      <c r="A631" s="79"/>
      <c r="B631" s="88"/>
      <c r="C631" s="71" t="str">
        <f>IFERROR(VLOOKUP(B631 ,INVENTARIO!B684:C1000,2,0),"")</f>
        <v/>
      </c>
      <c r="D631" s="71">
        <f>SUMIF(ENTRADAS!B:B,B631,ENTRADAS!D:D)</f>
        <v>0</v>
      </c>
      <c r="E631" s="71">
        <f>SUMIF(SALIDAS!B:B,B631,SALIDAS!D:D)</f>
        <v>0</v>
      </c>
      <c r="F631" s="89">
        <f t="shared" si="1"/>
        <v>0</v>
      </c>
      <c r="G631" s="90"/>
      <c r="H631" s="90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</row>
    <row r="632">
      <c r="A632" s="79"/>
      <c r="B632" s="88"/>
      <c r="C632" s="71" t="str">
        <f>IFERROR(VLOOKUP(B632 ,INVENTARIO!B685:C1000,2,0),"")</f>
        <v/>
      </c>
      <c r="D632" s="71">
        <f>SUMIF(ENTRADAS!B:B,B632,ENTRADAS!D:D)</f>
        <v>0</v>
      </c>
      <c r="E632" s="71">
        <f>SUMIF(SALIDAS!B:B,B632,SALIDAS!D:D)</f>
        <v>0</v>
      </c>
      <c r="F632" s="89">
        <f t="shared" si="1"/>
        <v>0</v>
      </c>
      <c r="G632" s="90"/>
      <c r="H632" s="90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</row>
    <row r="633">
      <c r="A633" s="79"/>
      <c r="B633" s="88"/>
      <c r="C633" s="71" t="str">
        <f>IFERROR(VLOOKUP(B633 ,INVENTARIO!B686:C1000,2,0),"")</f>
        <v/>
      </c>
      <c r="D633" s="71">
        <f>SUMIF(ENTRADAS!B:B,B633,ENTRADAS!D:D)</f>
        <v>0</v>
      </c>
      <c r="E633" s="71">
        <f>SUMIF(SALIDAS!B:B,B633,SALIDAS!D:D)</f>
        <v>0</v>
      </c>
      <c r="F633" s="89">
        <f t="shared" si="1"/>
        <v>0</v>
      </c>
      <c r="G633" s="90"/>
      <c r="H633" s="90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</row>
    <row r="634">
      <c r="A634" s="79"/>
      <c r="B634" s="88"/>
      <c r="C634" s="71" t="str">
        <f>IFERROR(VLOOKUP(B634 ,INVENTARIO!B687:C1000,2,0),"")</f>
        <v/>
      </c>
      <c r="D634" s="71">
        <f>SUMIF(ENTRADAS!B:B,B634,ENTRADAS!D:D)</f>
        <v>0</v>
      </c>
      <c r="E634" s="71">
        <f>SUMIF(SALIDAS!B:B,B634,SALIDAS!D:D)</f>
        <v>0</v>
      </c>
      <c r="F634" s="89">
        <f t="shared" si="1"/>
        <v>0</v>
      </c>
      <c r="G634" s="90"/>
      <c r="H634" s="90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</row>
    <row r="635">
      <c r="A635" s="79"/>
      <c r="B635" s="88"/>
      <c r="C635" s="71" t="str">
        <f>IFERROR(VLOOKUP(B635 ,INVENTARIO!B688:C1000,2,0),"")</f>
        <v/>
      </c>
      <c r="D635" s="71">
        <f>SUMIF(ENTRADAS!B:B,B635,ENTRADAS!D:D)</f>
        <v>0</v>
      </c>
      <c r="E635" s="71">
        <f>SUMIF(SALIDAS!B:B,B635,SALIDAS!D:D)</f>
        <v>0</v>
      </c>
      <c r="F635" s="89">
        <f t="shared" si="1"/>
        <v>0</v>
      </c>
      <c r="G635" s="90"/>
      <c r="H635" s="90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</row>
    <row r="636">
      <c r="A636" s="79"/>
      <c r="B636" s="88"/>
      <c r="C636" s="71" t="str">
        <f>IFERROR(VLOOKUP(B636 ,INVENTARIO!B689:C1000,2,0),"")</f>
        <v/>
      </c>
      <c r="D636" s="71">
        <f>SUMIF(ENTRADAS!B:B,B636,ENTRADAS!D:D)</f>
        <v>0</v>
      </c>
      <c r="E636" s="71">
        <f>SUMIF(SALIDAS!B:B,B636,SALIDAS!D:D)</f>
        <v>0</v>
      </c>
      <c r="F636" s="89">
        <f t="shared" si="1"/>
        <v>0</v>
      </c>
      <c r="G636" s="90"/>
      <c r="H636" s="90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</row>
    <row r="637">
      <c r="A637" s="79"/>
      <c r="B637" s="88"/>
      <c r="C637" s="71" t="str">
        <f>IFERROR(VLOOKUP(B637 ,INVENTARIO!B690:C1000,2,0),"")</f>
        <v/>
      </c>
      <c r="D637" s="71">
        <f>SUMIF(ENTRADAS!B:B,B637,ENTRADAS!D:D)</f>
        <v>0</v>
      </c>
      <c r="E637" s="71">
        <f>SUMIF(SALIDAS!B:B,B637,SALIDAS!D:D)</f>
        <v>0</v>
      </c>
      <c r="F637" s="89">
        <f t="shared" si="1"/>
        <v>0</v>
      </c>
      <c r="G637" s="90"/>
      <c r="H637" s="90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</row>
    <row r="638">
      <c r="A638" s="79"/>
      <c r="B638" s="88"/>
      <c r="C638" s="71" t="str">
        <f>IFERROR(VLOOKUP(B638 ,INVENTARIO!B691:C1000,2,0),"")</f>
        <v/>
      </c>
      <c r="D638" s="71">
        <f>SUMIF(ENTRADAS!B:B,B638,ENTRADAS!D:D)</f>
        <v>0</v>
      </c>
      <c r="E638" s="71">
        <f>SUMIF(SALIDAS!B:B,B638,SALIDAS!D:D)</f>
        <v>0</v>
      </c>
      <c r="F638" s="89">
        <f t="shared" si="1"/>
        <v>0</v>
      </c>
      <c r="G638" s="90"/>
      <c r="H638" s="90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</row>
    <row r="639">
      <c r="A639" s="79"/>
      <c r="B639" s="88"/>
      <c r="C639" s="71" t="str">
        <f>IFERROR(VLOOKUP(B639 ,INVENTARIO!B692:C1000,2,0),"")</f>
        <v/>
      </c>
      <c r="D639" s="71">
        <f>SUMIF(ENTRADAS!B:B,B639,ENTRADAS!D:D)</f>
        <v>0</v>
      </c>
      <c r="E639" s="71">
        <f>SUMIF(SALIDAS!B:B,B639,SALIDAS!D:D)</f>
        <v>0</v>
      </c>
      <c r="F639" s="89">
        <f t="shared" si="1"/>
        <v>0</v>
      </c>
      <c r="G639" s="90"/>
      <c r="H639" s="90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</row>
    <row r="640">
      <c r="A640" s="79"/>
      <c r="B640" s="88"/>
      <c r="C640" s="71" t="str">
        <f>IFERROR(VLOOKUP(B640 ,INVENTARIO!B693:C1000,2,0),"")</f>
        <v/>
      </c>
      <c r="D640" s="71">
        <f>SUMIF(ENTRADAS!B:B,B640,ENTRADAS!D:D)</f>
        <v>0</v>
      </c>
      <c r="E640" s="71">
        <f>SUMIF(SALIDAS!B:B,B640,SALIDAS!D:D)</f>
        <v>0</v>
      </c>
      <c r="F640" s="89">
        <f t="shared" si="1"/>
        <v>0</v>
      </c>
      <c r="G640" s="90"/>
      <c r="H640" s="90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</row>
    <row r="641">
      <c r="A641" s="79"/>
      <c r="B641" s="88"/>
      <c r="C641" s="71" t="str">
        <f>IFERROR(VLOOKUP(B641 ,INVENTARIO!B694:C1000,2,0),"")</f>
        <v/>
      </c>
      <c r="D641" s="71">
        <f>SUMIF(ENTRADAS!B:B,B641,ENTRADAS!D:D)</f>
        <v>0</v>
      </c>
      <c r="E641" s="71">
        <f>SUMIF(SALIDAS!B:B,B641,SALIDAS!D:D)</f>
        <v>0</v>
      </c>
      <c r="F641" s="89">
        <f t="shared" si="1"/>
        <v>0</v>
      </c>
      <c r="G641" s="90"/>
      <c r="H641" s="90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</row>
    <row r="642">
      <c r="A642" s="79"/>
      <c r="B642" s="88"/>
      <c r="C642" s="71" t="str">
        <f>IFERROR(VLOOKUP(B642 ,INVENTARIO!B695:C1000,2,0),"")</f>
        <v/>
      </c>
      <c r="D642" s="71">
        <f>SUMIF(ENTRADAS!B:B,B642,ENTRADAS!D:D)</f>
        <v>0</v>
      </c>
      <c r="E642" s="71">
        <f>SUMIF(SALIDAS!B:B,B642,SALIDAS!D:D)</f>
        <v>0</v>
      </c>
      <c r="F642" s="89">
        <f t="shared" si="1"/>
        <v>0</v>
      </c>
      <c r="G642" s="90"/>
      <c r="H642" s="90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</row>
    <row r="643">
      <c r="A643" s="79"/>
      <c r="B643" s="88"/>
      <c r="C643" s="71" t="str">
        <f>IFERROR(VLOOKUP(B643 ,INVENTARIO!B696:C1000,2,0),"")</f>
        <v/>
      </c>
      <c r="D643" s="71">
        <f>SUMIF(ENTRADAS!B:B,B643,ENTRADAS!D:D)</f>
        <v>0</v>
      </c>
      <c r="E643" s="71">
        <f>SUMIF(SALIDAS!B:B,B643,SALIDAS!D:D)</f>
        <v>0</v>
      </c>
      <c r="F643" s="89">
        <f t="shared" si="1"/>
        <v>0</v>
      </c>
      <c r="G643" s="90"/>
      <c r="H643" s="90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</row>
    <row r="644">
      <c r="A644" s="79"/>
      <c r="B644" s="88"/>
      <c r="C644" s="71" t="str">
        <f>IFERROR(VLOOKUP(B644 ,INVENTARIO!B697:C1000,2,0),"")</f>
        <v/>
      </c>
      <c r="D644" s="71">
        <f>SUMIF(ENTRADAS!B:B,B644,ENTRADAS!D:D)</f>
        <v>0</v>
      </c>
      <c r="E644" s="71">
        <f>SUMIF(SALIDAS!B:B,B644,SALIDAS!D:D)</f>
        <v>0</v>
      </c>
      <c r="F644" s="89">
        <f t="shared" si="1"/>
        <v>0</v>
      </c>
      <c r="G644" s="90"/>
      <c r="H644" s="90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</row>
    <row r="645">
      <c r="A645" s="79"/>
      <c r="B645" s="88"/>
      <c r="C645" s="71" t="str">
        <f>IFERROR(VLOOKUP(B645 ,INVENTARIO!B698:C1000,2,0),"")</f>
        <v/>
      </c>
      <c r="D645" s="71">
        <f>SUMIF(ENTRADAS!B:B,B645,ENTRADAS!D:D)</f>
        <v>0</v>
      </c>
      <c r="E645" s="71">
        <f>SUMIF(SALIDAS!B:B,B645,SALIDAS!D:D)</f>
        <v>0</v>
      </c>
      <c r="F645" s="89">
        <f t="shared" si="1"/>
        <v>0</v>
      </c>
      <c r="G645" s="90"/>
      <c r="H645" s="90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</row>
    <row r="646">
      <c r="A646" s="79"/>
      <c r="B646" s="88"/>
      <c r="C646" s="71" t="str">
        <f>IFERROR(VLOOKUP(B646 ,INVENTARIO!B699:C1000,2,0),"")</f>
        <v/>
      </c>
      <c r="D646" s="71">
        <f>SUMIF(ENTRADAS!B:B,B646,ENTRADAS!D:D)</f>
        <v>0</v>
      </c>
      <c r="E646" s="71">
        <f>SUMIF(SALIDAS!B:B,B646,SALIDAS!D:D)</f>
        <v>0</v>
      </c>
      <c r="F646" s="89">
        <f t="shared" si="1"/>
        <v>0</v>
      </c>
      <c r="G646" s="90"/>
      <c r="H646" s="90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</row>
    <row r="647">
      <c r="A647" s="79"/>
      <c r="B647" s="88"/>
      <c r="C647" s="71" t="str">
        <f>IFERROR(VLOOKUP(B647 ,INVENTARIO!B700:C1000,2,0),"")</f>
        <v/>
      </c>
      <c r="D647" s="71">
        <f>SUMIF(ENTRADAS!B:B,B647,ENTRADAS!D:D)</f>
        <v>0</v>
      </c>
      <c r="E647" s="71">
        <f>SUMIF(SALIDAS!B:B,B647,SALIDAS!D:D)</f>
        <v>0</v>
      </c>
      <c r="F647" s="89">
        <f t="shared" si="1"/>
        <v>0</v>
      </c>
      <c r="G647" s="90"/>
      <c r="H647" s="90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</row>
    <row r="648">
      <c r="A648" s="79"/>
      <c r="B648" s="88"/>
      <c r="C648" s="71" t="str">
        <f>IFERROR(VLOOKUP(B648 ,INVENTARIO!B701:C1000,2,0),"")</f>
        <v/>
      </c>
      <c r="D648" s="71">
        <f>SUMIF(ENTRADAS!B:B,B648,ENTRADAS!D:D)</f>
        <v>0</v>
      </c>
      <c r="E648" s="71">
        <f>SUMIF(SALIDAS!B:B,B648,SALIDAS!D:D)</f>
        <v>0</v>
      </c>
      <c r="F648" s="89">
        <f t="shared" si="1"/>
        <v>0</v>
      </c>
      <c r="G648" s="90"/>
      <c r="H648" s="90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</row>
    <row r="649">
      <c r="A649" s="79"/>
      <c r="B649" s="88"/>
      <c r="C649" s="71" t="str">
        <f>IFERROR(VLOOKUP(B649 ,INVENTARIO!B702:C1000,2,0),"")</f>
        <v/>
      </c>
      <c r="D649" s="71">
        <f>SUMIF(ENTRADAS!B:B,B649,ENTRADAS!D:D)</f>
        <v>0</v>
      </c>
      <c r="E649" s="71">
        <f>SUMIF(SALIDAS!B:B,B649,SALIDAS!D:D)</f>
        <v>0</v>
      </c>
      <c r="F649" s="89">
        <f t="shared" si="1"/>
        <v>0</v>
      </c>
      <c r="G649" s="90"/>
      <c r="H649" s="90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</row>
    <row r="650">
      <c r="A650" s="79"/>
      <c r="B650" s="88"/>
      <c r="C650" s="71" t="str">
        <f>IFERROR(VLOOKUP(B650 ,INVENTARIO!B703:C1000,2,0),"")</f>
        <v/>
      </c>
      <c r="D650" s="71">
        <f>SUMIF(ENTRADAS!B:B,B650,ENTRADAS!D:D)</f>
        <v>0</v>
      </c>
      <c r="E650" s="71">
        <f>SUMIF(SALIDAS!B:B,B650,SALIDAS!D:D)</f>
        <v>0</v>
      </c>
      <c r="F650" s="89">
        <f t="shared" si="1"/>
        <v>0</v>
      </c>
      <c r="G650" s="90"/>
      <c r="H650" s="90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</row>
    <row r="651">
      <c r="A651" s="79"/>
      <c r="B651" s="88"/>
      <c r="C651" s="71" t="str">
        <f>IFERROR(VLOOKUP(B651 ,INVENTARIO!B704:C1000,2,0),"")</f>
        <v/>
      </c>
      <c r="D651" s="71">
        <f>SUMIF(ENTRADAS!B:B,B651,ENTRADAS!D:D)</f>
        <v>0</v>
      </c>
      <c r="E651" s="71">
        <f>SUMIF(SALIDAS!B:B,B651,SALIDAS!D:D)</f>
        <v>0</v>
      </c>
      <c r="F651" s="89">
        <f t="shared" si="1"/>
        <v>0</v>
      </c>
      <c r="G651" s="90"/>
      <c r="H651" s="90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</row>
    <row r="652">
      <c r="A652" s="79"/>
      <c r="B652" s="88"/>
      <c r="C652" s="71" t="str">
        <f>IFERROR(VLOOKUP(B652 ,INVENTARIO!B705:C1000,2,0),"")</f>
        <v/>
      </c>
      <c r="D652" s="71">
        <f>SUMIF(ENTRADAS!B:B,B652,ENTRADAS!D:D)</f>
        <v>0</v>
      </c>
      <c r="E652" s="71">
        <f>SUMIF(SALIDAS!B:B,B652,SALIDAS!D:D)</f>
        <v>0</v>
      </c>
      <c r="F652" s="89">
        <f t="shared" si="1"/>
        <v>0</v>
      </c>
      <c r="G652" s="90"/>
      <c r="H652" s="90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</row>
    <row r="653">
      <c r="A653" s="79"/>
      <c r="B653" s="88"/>
      <c r="C653" s="71" t="str">
        <f>IFERROR(VLOOKUP(B653 ,INVENTARIO!B706:C1000,2,0),"")</f>
        <v/>
      </c>
      <c r="D653" s="71">
        <f>SUMIF(ENTRADAS!B:B,B653,ENTRADAS!D:D)</f>
        <v>0</v>
      </c>
      <c r="E653" s="71">
        <f>SUMIF(SALIDAS!B:B,B653,SALIDAS!D:D)</f>
        <v>0</v>
      </c>
      <c r="F653" s="89">
        <f t="shared" si="1"/>
        <v>0</v>
      </c>
      <c r="G653" s="90"/>
      <c r="H653" s="90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</row>
    <row r="654">
      <c r="A654" s="79"/>
      <c r="B654" s="88"/>
      <c r="C654" s="71" t="str">
        <f>IFERROR(VLOOKUP(B654 ,INVENTARIO!B707:C1000,2,0),"")</f>
        <v/>
      </c>
      <c r="D654" s="71">
        <f>SUMIF(ENTRADAS!B:B,B654,ENTRADAS!D:D)</f>
        <v>0</v>
      </c>
      <c r="E654" s="71">
        <f>SUMIF(SALIDAS!B:B,B654,SALIDAS!D:D)</f>
        <v>0</v>
      </c>
      <c r="F654" s="89">
        <f t="shared" si="1"/>
        <v>0</v>
      </c>
      <c r="G654" s="90"/>
      <c r="H654" s="90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</row>
    <row r="655">
      <c r="A655" s="79"/>
      <c r="B655" s="88"/>
      <c r="C655" s="71" t="str">
        <f>IFERROR(VLOOKUP(B655 ,INVENTARIO!B708:C1000,2,0),"")</f>
        <v/>
      </c>
      <c r="D655" s="71">
        <f>SUMIF(ENTRADAS!B:B,B655,ENTRADAS!D:D)</f>
        <v>0</v>
      </c>
      <c r="E655" s="71">
        <f>SUMIF(SALIDAS!B:B,B655,SALIDAS!D:D)</f>
        <v>0</v>
      </c>
      <c r="F655" s="89">
        <f t="shared" si="1"/>
        <v>0</v>
      </c>
      <c r="G655" s="90"/>
      <c r="H655" s="90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</row>
    <row r="656">
      <c r="A656" s="79"/>
      <c r="B656" s="88"/>
      <c r="C656" s="71" t="str">
        <f>IFERROR(VLOOKUP(B656 ,INVENTARIO!B709:C1000,2,0),"")</f>
        <v/>
      </c>
      <c r="D656" s="71">
        <f>SUMIF(ENTRADAS!B:B,B656,ENTRADAS!D:D)</f>
        <v>0</v>
      </c>
      <c r="E656" s="71">
        <f>SUMIF(SALIDAS!B:B,B656,SALIDAS!D:D)</f>
        <v>0</v>
      </c>
      <c r="F656" s="89">
        <f t="shared" si="1"/>
        <v>0</v>
      </c>
      <c r="G656" s="90"/>
      <c r="H656" s="90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</row>
    <row r="657">
      <c r="A657" s="79"/>
      <c r="B657" s="88"/>
      <c r="C657" s="71" t="str">
        <f>IFERROR(VLOOKUP(B657 ,INVENTARIO!B710:C1000,2,0),"")</f>
        <v/>
      </c>
      <c r="D657" s="71">
        <f>SUMIF(ENTRADAS!B:B,B657,ENTRADAS!D:D)</f>
        <v>0</v>
      </c>
      <c r="E657" s="71">
        <f>SUMIF(SALIDAS!B:B,B657,SALIDAS!D:D)</f>
        <v>0</v>
      </c>
      <c r="F657" s="89">
        <f t="shared" si="1"/>
        <v>0</v>
      </c>
      <c r="G657" s="90"/>
      <c r="H657" s="90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</row>
    <row r="658">
      <c r="A658" s="79"/>
      <c r="B658" s="88"/>
      <c r="C658" s="71" t="str">
        <f>IFERROR(VLOOKUP(B658 ,INVENTARIO!B711:C1000,2,0),"")</f>
        <v/>
      </c>
      <c r="D658" s="71">
        <f>SUMIF(ENTRADAS!B:B,B658,ENTRADAS!D:D)</f>
        <v>0</v>
      </c>
      <c r="E658" s="71">
        <f>SUMIF(SALIDAS!B:B,B658,SALIDAS!D:D)</f>
        <v>0</v>
      </c>
      <c r="F658" s="89">
        <f t="shared" si="1"/>
        <v>0</v>
      </c>
      <c r="G658" s="90"/>
      <c r="H658" s="90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</row>
    <row r="659">
      <c r="A659" s="79"/>
      <c r="B659" s="88"/>
      <c r="C659" s="71" t="str">
        <f>IFERROR(VLOOKUP(B659 ,INVENTARIO!B712:C1000,2,0),"")</f>
        <v/>
      </c>
      <c r="D659" s="71">
        <f>SUMIF(ENTRADAS!B:B,B659,ENTRADAS!D:D)</f>
        <v>0</v>
      </c>
      <c r="E659" s="71">
        <f>SUMIF(SALIDAS!B:B,B659,SALIDAS!D:D)</f>
        <v>0</v>
      </c>
      <c r="F659" s="89">
        <f t="shared" si="1"/>
        <v>0</v>
      </c>
      <c r="G659" s="90"/>
      <c r="H659" s="90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</row>
    <row r="660">
      <c r="A660" s="79"/>
      <c r="B660" s="88"/>
      <c r="C660" s="71" t="str">
        <f>IFERROR(VLOOKUP(B660 ,INVENTARIO!B713:C1000,2,0),"")</f>
        <v/>
      </c>
      <c r="D660" s="71">
        <f>SUMIF(ENTRADAS!B:B,B660,ENTRADAS!D:D)</f>
        <v>0</v>
      </c>
      <c r="E660" s="71">
        <f>SUMIF(SALIDAS!B:B,B660,SALIDAS!D:D)</f>
        <v>0</v>
      </c>
      <c r="F660" s="89">
        <f t="shared" si="1"/>
        <v>0</v>
      </c>
      <c r="G660" s="90"/>
      <c r="H660" s="90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</row>
    <row r="661">
      <c r="A661" s="79"/>
      <c r="B661" s="88"/>
      <c r="C661" s="71" t="str">
        <f>IFERROR(VLOOKUP(B661 ,INVENTARIO!B714:C1000,2,0),"")</f>
        <v/>
      </c>
      <c r="D661" s="71">
        <f>SUMIF(ENTRADAS!B:B,B661,ENTRADAS!D:D)</f>
        <v>0</v>
      </c>
      <c r="E661" s="71">
        <f>SUMIF(SALIDAS!B:B,B661,SALIDAS!D:D)</f>
        <v>0</v>
      </c>
      <c r="F661" s="89">
        <f t="shared" si="1"/>
        <v>0</v>
      </c>
      <c r="G661" s="90"/>
      <c r="H661" s="90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</row>
    <row r="662">
      <c r="A662" s="79"/>
      <c r="B662" s="88"/>
      <c r="C662" s="71" t="str">
        <f>IFERROR(VLOOKUP(B662 ,INVENTARIO!B715:C1000,2,0),"")</f>
        <v/>
      </c>
      <c r="D662" s="71">
        <f>SUMIF(ENTRADAS!B:B,B662,ENTRADAS!D:D)</f>
        <v>0</v>
      </c>
      <c r="E662" s="71">
        <f>SUMIF(SALIDAS!B:B,B662,SALIDAS!D:D)</f>
        <v>0</v>
      </c>
      <c r="F662" s="89">
        <f t="shared" si="1"/>
        <v>0</v>
      </c>
      <c r="G662" s="90"/>
      <c r="H662" s="90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</row>
    <row r="663">
      <c r="A663" s="79"/>
      <c r="B663" s="88"/>
      <c r="C663" s="71" t="str">
        <f>IFERROR(VLOOKUP(B663 ,INVENTARIO!B716:C1000,2,0),"")</f>
        <v/>
      </c>
      <c r="D663" s="71">
        <f>SUMIF(ENTRADAS!B:B,B663,ENTRADAS!D:D)</f>
        <v>0</v>
      </c>
      <c r="E663" s="71">
        <f>SUMIF(SALIDAS!B:B,B663,SALIDAS!D:D)</f>
        <v>0</v>
      </c>
      <c r="F663" s="89">
        <f t="shared" si="1"/>
        <v>0</v>
      </c>
      <c r="G663" s="90"/>
      <c r="H663" s="90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</row>
    <row r="664">
      <c r="A664" s="79"/>
      <c r="B664" s="88"/>
      <c r="C664" s="71" t="str">
        <f>IFERROR(VLOOKUP(B664 ,INVENTARIO!B717:C1000,2,0),"")</f>
        <v/>
      </c>
      <c r="D664" s="71">
        <f>SUMIF(ENTRADAS!B:B,B664,ENTRADAS!D:D)</f>
        <v>0</v>
      </c>
      <c r="E664" s="71">
        <f>SUMIF(SALIDAS!B:B,B664,SALIDAS!D:D)</f>
        <v>0</v>
      </c>
      <c r="F664" s="89">
        <f t="shared" si="1"/>
        <v>0</v>
      </c>
      <c r="G664" s="90"/>
      <c r="H664" s="90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</row>
    <row r="665">
      <c r="A665" s="79"/>
      <c r="B665" s="88"/>
      <c r="C665" s="71" t="str">
        <f>IFERROR(VLOOKUP(B665 ,INVENTARIO!B718:C1000,2,0),"")</f>
        <v/>
      </c>
      <c r="D665" s="71">
        <f>SUMIF(ENTRADAS!B:B,B665,ENTRADAS!D:D)</f>
        <v>0</v>
      </c>
      <c r="E665" s="71">
        <f>SUMIF(SALIDAS!B:B,B665,SALIDAS!D:D)</f>
        <v>0</v>
      </c>
      <c r="F665" s="89">
        <f t="shared" si="1"/>
        <v>0</v>
      </c>
      <c r="G665" s="90"/>
      <c r="H665" s="90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</row>
    <row r="666">
      <c r="A666" s="79"/>
      <c r="B666" s="88"/>
      <c r="C666" s="71" t="str">
        <f>IFERROR(VLOOKUP(B666 ,INVENTARIO!B719:C1000,2,0),"")</f>
        <v/>
      </c>
      <c r="D666" s="71">
        <f>SUMIF(ENTRADAS!B:B,B666,ENTRADAS!D:D)</f>
        <v>0</v>
      </c>
      <c r="E666" s="71">
        <f>SUMIF(SALIDAS!B:B,B666,SALIDAS!D:D)</f>
        <v>0</v>
      </c>
      <c r="F666" s="89">
        <f t="shared" si="1"/>
        <v>0</v>
      </c>
      <c r="G666" s="90"/>
      <c r="H666" s="90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</row>
    <row r="667">
      <c r="A667" s="79"/>
      <c r="B667" s="88"/>
      <c r="C667" s="71" t="str">
        <f>IFERROR(VLOOKUP(B667 ,INVENTARIO!B720:C1000,2,0),"")</f>
        <v/>
      </c>
      <c r="D667" s="71">
        <f>SUMIF(ENTRADAS!B:B,B667,ENTRADAS!D:D)</f>
        <v>0</v>
      </c>
      <c r="E667" s="71">
        <f>SUMIF(SALIDAS!B:B,B667,SALIDAS!D:D)</f>
        <v>0</v>
      </c>
      <c r="F667" s="89">
        <f t="shared" si="1"/>
        <v>0</v>
      </c>
      <c r="G667" s="90"/>
      <c r="H667" s="90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</row>
    <row r="668">
      <c r="A668" s="79"/>
      <c r="B668" s="88"/>
      <c r="C668" s="71" t="str">
        <f>IFERROR(VLOOKUP(B668 ,INVENTARIO!B721:C1000,2,0),"")</f>
        <v/>
      </c>
      <c r="D668" s="71">
        <f>SUMIF(ENTRADAS!B:B,B668,ENTRADAS!D:D)</f>
        <v>0</v>
      </c>
      <c r="E668" s="71">
        <f>SUMIF(SALIDAS!B:B,B668,SALIDAS!D:D)</f>
        <v>0</v>
      </c>
      <c r="F668" s="89">
        <f t="shared" si="1"/>
        <v>0</v>
      </c>
      <c r="G668" s="90"/>
      <c r="H668" s="90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</row>
    <row r="669">
      <c r="A669" s="79"/>
      <c r="B669" s="88"/>
      <c r="C669" s="71" t="str">
        <f>IFERROR(VLOOKUP(B669 ,INVENTARIO!B722:C1000,2,0),"")</f>
        <v/>
      </c>
      <c r="D669" s="71">
        <f>SUMIF(ENTRADAS!B:B,B669,ENTRADAS!D:D)</f>
        <v>0</v>
      </c>
      <c r="E669" s="71">
        <f>SUMIF(SALIDAS!B:B,B669,SALIDAS!D:D)</f>
        <v>0</v>
      </c>
      <c r="F669" s="89">
        <f t="shared" si="1"/>
        <v>0</v>
      </c>
      <c r="G669" s="90"/>
      <c r="H669" s="90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</row>
    <row r="670">
      <c r="A670" s="79"/>
      <c r="B670" s="88"/>
      <c r="C670" s="71" t="str">
        <f>IFERROR(VLOOKUP(B670 ,INVENTARIO!B723:C1000,2,0),"")</f>
        <v/>
      </c>
      <c r="D670" s="71">
        <f>SUMIF(ENTRADAS!B:B,B670,ENTRADAS!D:D)</f>
        <v>0</v>
      </c>
      <c r="E670" s="71">
        <f>SUMIF(SALIDAS!B:B,B670,SALIDAS!D:D)</f>
        <v>0</v>
      </c>
      <c r="F670" s="89">
        <f t="shared" si="1"/>
        <v>0</v>
      </c>
      <c r="G670" s="90"/>
      <c r="H670" s="90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</row>
    <row r="671">
      <c r="A671" s="79"/>
      <c r="B671" s="88"/>
      <c r="C671" s="71" t="str">
        <f>IFERROR(VLOOKUP(B671 ,INVENTARIO!B724:C1000,2,0),"")</f>
        <v/>
      </c>
      <c r="D671" s="71">
        <f>SUMIF(ENTRADAS!B:B,B671,ENTRADAS!D:D)</f>
        <v>0</v>
      </c>
      <c r="E671" s="71">
        <f>SUMIF(SALIDAS!B:B,B671,SALIDAS!D:D)</f>
        <v>0</v>
      </c>
      <c r="F671" s="89">
        <f t="shared" si="1"/>
        <v>0</v>
      </c>
      <c r="G671" s="90"/>
      <c r="H671" s="90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</row>
    <row r="672">
      <c r="A672" s="79"/>
      <c r="B672" s="88"/>
      <c r="C672" s="71" t="str">
        <f>IFERROR(VLOOKUP(B672 ,INVENTARIO!B725:C1000,2,0),"")</f>
        <v/>
      </c>
      <c r="D672" s="71">
        <f>SUMIF(ENTRADAS!B:B,B672,ENTRADAS!D:D)</f>
        <v>0</v>
      </c>
      <c r="E672" s="71">
        <f>SUMIF(SALIDAS!B:B,B672,SALIDAS!D:D)</f>
        <v>0</v>
      </c>
      <c r="F672" s="89">
        <f t="shared" si="1"/>
        <v>0</v>
      </c>
      <c r="G672" s="90"/>
      <c r="H672" s="90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</row>
    <row r="673">
      <c r="A673" s="79"/>
      <c r="B673" s="88"/>
      <c r="C673" s="71" t="str">
        <f>IFERROR(VLOOKUP(B673 ,INVENTARIO!B726:C1000,2,0),"")</f>
        <v/>
      </c>
      <c r="D673" s="71">
        <f>SUMIF(ENTRADAS!B:B,B673,ENTRADAS!D:D)</f>
        <v>0</v>
      </c>
      <c r="E673" s="71">
        <f>SUMIF(SALIDAS!B:B,B673,SALIDAS!D:D)</f>
        <v>0</v>
      </c>
      <c r="F673" s="89">
        <f t="shared" si="1"/>
        <v>0</v>
      </c>
      <c r="G673" s="90"/>
      <c r="H673" s="90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</row>
    <row r="674">
      <c r="A674" s="79"/>
      <c r="B674" s="88"/>
      <c r="C674" s="71" t="str">
        <f>IFERROR(VLOOKUP(B674 ,INVENTARIO!B727:C1000,2,0),"")</f>
        <v/>
      </c>
      <c r="D674" s="71">
        <f>SUMIF(ENTRADAS!B:B,B674,ENTRADAS!D:D)</f>
        <v>0</v>
      </c>
      <c r="E674" s="71">
        <f>SUMIF(SALIDAS!B:B,B674,SALIDAS!D:D)</f>
        <v>0</v>
      </c>
      <c r="F674" s="89">
        <f t="shared" si="1"/>
        <v>0</v>
      </c>
      <c r="G674" s="90"/>
      <c r="H674" s="90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</row>
    <row r="675">
      <c r="A675" s="79"/>
      <c r="B675" s="88"/>
      <c r="C675" s="71" t="str">
        <f>IFERROR(VLOOKUP(B675 ,INVENTARIO!B728:C1000,2,0),"")</f>
        <v/>
      </c>
      <c r="D675" s="71">
        <f>SUMIF(ENTRADAS!B:B,B675,ENTRADAS!D:D)</f>
        <v>0</v>
      </c>
      <c r="E675" s="71">
        <f>SUMIF(SALIDAS!B:B,B675,SALIDAS!D:D)</f>
        <v>0</v>
      </c>
      <c r="F675" s="89">
        <f t="shared" si="1"/>
        <v>0</v>
      </c>
      <c r="G675" s="90"/>
      <c r="H675" s="90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</row>
    <row r="676">
      <c r="A676" s="79"/>
      <c r="B676" s="88"/>
      <c r="C676" s="71" t="str">
        <f>IFERROR(VLOOKUP(B676 ,INVENTARIO!B729:C1000,2,0),"")</f>
        <v/>
      </c>
      <c r="D676" s="71">
        <f>SUMIF(ENTRADAS!B:B,B676,ENTRADAS!D:D)</f>
        <v>0</v>
      </c>
      <c r="E676" s="71">
        <f>SUMIF(SALIDAS!B:B,B676,SALIDAS!D:D)</f>
        <v>0</v>
      </c>
      <c r="F676" s="89">
        <f t="shared" si="1"/>
        <v>0</v>
      </c>
      <c r="G676" s="90"/>
      <c r="H676" s="90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</row>
    <row r="677">
      <c r="A677" s="79"/>
      <c r="B677" s="88"/>
      <c r="C677" s="71" t="str">
        <f>IFERROR(VLOOKUP(B677 ,INVENTARIO!B730:C1000,2,0),"")</f>
        <v/>
      </c>
      <c r="D677" s="71">
        <f>SUMIF(ENTRADAS!B:B,B677,ENTRADAS!D:D)</f>
        <v>0</v>
      </c>
      <c r="E677" s="71">
        <f>SUMIF(SALIDAS!B:B,B677,SALIDAS!D:D)</f>
        <v>0</v>
      </c>
      <c r="F677" s="89">
        <f t="shared" si="1"/>
        <v>0</v>
      </c>
      <c r="G677" s="90"/>
      <c r="H677" s="90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</row>
    <row r="678">
      <c r="A678" s="79"/>
      <c r="B678" s="88"/>
      <c r="C678" s="71" t="str">
        <f>IFERROR(VLOOKUP(B678 ,INVENTARIO!B731:C1000,2,0),"")</f>
        <v/>
      </c>
      <c r="D678" s="71">
        <f>SUMIF(ENTRADAS!B:B,B678,ENTRADAS!D:D)</f>
        <v>0</v>
      </c>
      <c r="E678" s="71">
        <f>SUMIF(SALIDAS!B:B,B678,SALIDAS!D:D)</f>
        <v>0</v>
      </c>
      <c r="F678" s="89">
        <f t="shared" si="1"/>
        <v>0</v>
      </c>
      <c r="G678" s="90"/>
      <c r="H678" s="90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</row>
    <row r="679">
      <c r="A679" s="79"/>
      <c r="B679" s="88"/>
      <c r="C679" s="71" t="str">
        <f>IFERROR(VLOOKUP(B679 ,INVENTARIO!B732:C1000,2,0),"")</f>
        <v/>
      </c>
      <c r="D679" s="71">
        <f>SUMIF(ENTRADAS!B:B,B679,ENTRADAS!D:D)</f>
        <v>0</v>
      </c>
      <c r="E679" s="71">
        <f>SUMIF(SALIDAS!B:B,B679,SALIDAS!D:D)</f>
        <v>0</v>
      </c>
      <c r="F679" s="89">
        <f t="shared" si="1"/>
        <v>0</v>
      </c>
      <c r="G679" s="90"/>
      <c r="H679" s="90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</row>
    <row r="680">
      <c r="A680" s="79"/>
      <c r="B680" s="88"/>
      <c r="C680" s="71" t="str">
        <f>IFERROR(VLOOKUP(B680 ,INVENTARIO!B733:C1000,2,0),"")</f>
        <v/>
      </c>
      <c r="D680" s="71">
        <f>SUMIF(ENTRADAS!B:B,B680,ENTRADAS!D:D)</f>
        <v>0</v>
      </c>
      <c r="E680" s="71">
        <f>SUMIF(SALIDAS!B:B,B680,SALIDAS!D:D)</f>
        <v>0</v>
      </c>
      <c r="F680" s="89">
        <f t="shared" si="1"/>
        <v>0</v>
      </c>
      <c r="G680" s="90"/>
      <c r="H680" s="90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</row>
    <row r="681">
      <c r="A681" s="79"/>
      <c r="B681" s="88"/>
      <c r="C681" s="71" t="str">
        <f>IFERROR(VLOOKUP(B681 ,INVENTARIO!B734:C1000,2,0),"")</f>
        <v/>
      </c>
      <c r="D681" s="71">
        <f>SUMIF(ENTRADAS!B:B,B681,ENTRADAS!D:D)</f>
        <v>0</v>
      </c>
      <c r="E681" s="71">
        <f>SUMIF(SALIDAS!B:B,B681,SALIDAS!D:D)</f>
        <v>0</v>
      </c>
      <c r="F681" s="89">
        <f t="shared" si="1"/>
        <v>0</v>
      </c>
      <c r="G681" s="90"/>
      <c r="H681" s="90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</row>
    <row r="682">
      <c r="A682" s="79"/>
      <c r="B682" s="88"/>
      <c r="C682" s="71" t="str">
        <f>IFERROR(VLOOKUP(B682 ,INVENTARIO!B735:C1000,2,0),"")</f>
        <v/>
      </c>
      <c r="D682" s="71">
        <f>SUMIF(ENTRADAS!B:B,B682,ENTRADAS!D:D)</f>
        <v>0</v>
      </c>
      <c r="E682" s="71">
        <f>SUMIF(SALIDAS!B:B,B682,SALIDAS!D:D)</f>
        <v>0</v>
      </c>
      <c r="F682" s="89">
        <f t="shared" si="1"/>
        <v>0</v>
      </c>
      <c r="G682" s="90"/>
      <c r="H682" s="90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</row>
    <row r="683">
      <c r="A683" s="79"/>
      <c r="B683" s="88"/>
      <c r="C683" s="71" t="str">
        <f>IFERROR(VLOOKUP(B683 ,INVENTARIO!B736:C1000,2,0),"")</f>
        <v/>
      </c>
      <c r="D683" s="71">
        <f>SUMIF(ENTRADAS!B:B,B683,ENTRADAS!D:D)</f>
        <v>0</v>
      </c>
      <c r="E683" s="71">
        <f>SUMIF(SALIDAS!B:B,B683,SALIDAS!D:D)</f>
        <v>0</v>
      </c>
      <c r="F683" s="89">
        <f t="shared" si="1"/>
        <v>0</v>
      </c>
      <c r="G683" s="90"/>
      <c r="H683" s="90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</row>
    <row r="684">
      <c r="A684" s="79"/>
      <c r="B684" s="88"/>
      <c r="C684" s="71" t="str">
        <f>IFERROR(VLOOKUP(B684 ,INVENTARIO!B737:C1000,2,0),"")</f>
        <v/>
      </c>
      <c r="D684" s="71">
        <f>SUMIF(ENTRADAS!B:B,B684,ENTRADAS!D:D)</f>
        <v>0</v>
      </c>
      <c r="E684" s="71">
        <f>SUMIF(SALIDAS!B:B,B684,SALIDAS!D:D)</f>
        <v>0</v>
      </c>
      <c r="F684" s="89">
        <f t="shared" si="1"/>
        <v>0</v>
      </c>
      <c r="G684" s="90"/>
      <c r="H684" s="90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</row>
    <row r="685">
      <c r="A685" s="79"/>
      <c r="B685" s="88"/>
      <c r="C685" s="71" t="str">
        <f>IFERROR(VLOOKUP(B685 ,INVENTARIO!B738:C1000,2,0),"")</f>
        <v/>
      </c>
      <c r="D685" s="71">
        <f>SUMIF(ENTRADAS!B:B,B685,ENTRADAS!D:D)</f>
        <v>0</v>
      </c>
      <c r="E685" s="71">
        <f>SUMIF(SALIDAS!B:B,B685,SALIDAS!D:D)</f>
        <v>0</v>
      </c>
      <c r="F685" s="89">
        <f t="shared" si="1"/>
        <v>0</v>
      </c>
      <c r="G685" s="90"/>
      <c r="H685" s="90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</row>
    <row r="686">
      <c r="A686" s="79"/>
      <c r="B686" s="88"/>
      <c r="C686" s="71" t="str">
        <f>IFERROR(VLOOKUP(B686 ,INVENTARIO!B739:C1000,2,0),"")</f>
        <v/>
      </c>
      <c r="D686" s="71">
        <f>SUMIF(ENTRADAS!B:B,B686,ENTRADAS!D:D)</f>
        <v>0</v>
      </c>
      <c r="E686" s="71">
        <f>SUMIF(SALIDAS!B:B,B686,SALIDAS!D:D)</f>
        <v>0</v>
      </c>
      <c r="F686" s="89">
        <f t="shared" si="1"/>
        <v>0</v>
      </c>
      <c r="G686" s="90"/>
      <c r="H686" s="90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</row>
    <row r="687">
      <c r="A687" s="79"/>
      <c r="B687" s="88"/>
      <c r="C687" s="71" t="str">
        <f>IFERROR(VLOOKUP(B687 ,INVENTARIO!B740:C1000,2,0),"")</f>
        <v/>
      </c>
      <c r="D687" s="71">
        <f>SUMIF(ENTRADAS!B:B,B687,ENTRADAS!D:D)</f>
        <v>0</v>
      </c>
      <c r="E687" s="71">
        <f>SUMIF(SALIDAS!B:B,B687,SALIDAS!D:D)</f>
        <v>0</v>
      </c>
      <c r="F687" s="89">
        <f t="shared" si="1"/>
        <v>0</v>
      </c>
      <c r="G687" s="90"/>
      <c r="H687" s="90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</row>
    <row r="688">
      <c r="A688" s="79"/>
      <c r="B688" s="88"/>
      <c r="C688" s="71" t="str">
        <f>IFERROR(VLOOKUP(B688 ,INVENTARIO!B741:C1000,2,0),"")</f>
        <v/>
      </c>
      <c r="D688" s="71">
        <f>SUMIF(ENTRADAS!B:B,B688,ENTRADAS!D:D)</f>
        <v>0</v>
      </c>
      <c r="E688" s="71">
        <f>SUMIF(SALIDAS!B:B,B688,SALIDAS!D:D)</f>
        <v>0</v>
      </c>
      <c r="F688" s="89">
        <f t="shared" si="1"/>
        <v>0</v>
      </c>
      <c r="G688" s="90"/>
      <c r="H688" s="90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</row>
    <row r="689">
      <c r="A689" s="79"/>
      <c r="B689" s="88"/>
      <c r="C689" s="71" t="str">
        <f>IFERROR(VLOOKUP(B689 ,INVENTARIO!B742:C1000,2,0),"")</f>
        <v/>
      </c>
      <c r="D689" s="71">
        <f>SUMIF(ENTRADAS!B:B,B689,ENTRADAS!D:D)</f>
        <v>0</v>
      </c>
      <c r="E689" s="71">
        <f>SUMIF(SALIDAS!B:B,B689,SALIDAS!D:D)</f>
        <v>0</v>
      </c>
      <c r="F689" s="89">
        <f t="shared" si="1"/>
        <v>0</v>
      </c>
      <c r="G689" s="90"/>
      <c r="H689" s="90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</row>
    <row r="690">
      <c r="A690" s="79"/>
      <c r="B690" s="88"/>
      <c r="C690" s="71" t="str">
        <f>IFERROR(VLOOKUP(B690 ,INVENTARIO!B743:C1000,2,0),"")</f>
        <v/>
      </c>
      <c r="D690" s="71">
        <f>SUMIF(ENTRADAS!B:B,B690,ENTRADAS!D:D)</f>
        <v>0</v>
      </c>
      <c r="E690" s="71">
        <f>SUMIF(SALIDAS!B:B,B690,SALIDAS!D:D)</f>
        <v>0</v>
      </c>
      <c r="F690" s="89">
        <f t="shared" si="1"/>
        <v>0</v>
      </c>
      <c r="G690" s="90"/>
      <c r="H690" s="90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</row>
    <row r="691">
      <c r="A691" s="79"/>
      <c r="B691" s="88"/>
      <c r="C691" s="71" t="str">
        <f>IFERROR(VLOOKUP(B691 ,INVENTARIO!B744:C1000,2,0),"")</f>
        <v/>
      </c>
      <c r="D691" s="71">
        <f>SUMIF(ENTRADAS!B:B,B691,ENTRADAS!D:D)</f>
        <v>0</v>
      </c>
      <c r="E691" s="71">
        <f>SUMIF(SALIDAS!B:B,B691,SALIDAS!D:D)</f>
        <v>0</v>
      </c>
      <c r="F691" s="89">
        <f t="shared" si="1"/>
        <v>0</v>
      </c>
      <c r="G691" s="90"/>
      <c r="H691" s="90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</row>
    <row r="692">
      <c r="A692" s="79"/>
      <c r="B692" s="88"/>
      <c r="C692" s="71" t="str">
        <f>IFERROR(VLOOKUP(B692 ,INVENTARIO!B745:C1000,2,0),"")</f>
        <v/>
      </c>
      <c r="D692" s="71">
        <f>SUMIF(ENTRADAS!B:B,B692,ENTRADAS!D:D)</f>
        <v>0</v>
      </c>
      <c r="E692" s="71">
        <f>SUMIF(SALIDAS!B:B,B692,SALIDAS!D:D)</f>
        <v>0</v>
      </c>
      <c r="F692" s="89">
        <f t="shared" si="1"/>
        <v>0</v>
      </c>
      <c r="G692" s="90"/>
      <c r="H692" s="90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</row>
    <row r="693">
      <c r="A693" s="79"/>
      <c r="B693" s="88"/>
      <c r="C693" s="71" t="str">
        <f>IFERROR(VLOOKUP(B693 ,INVENTARIO!B746:C1000,2,0),"")</f>
        <v/>
      </c>
      <c r="D693" s="71">
        <f>SUMIF(ENTRADAS!B:B,B693,ENTRADAS!D:D)</f>
        <v>0</v>
      </c>
      <c r="E693" s="71">
        <f>SUMIF(SALIDAS!B:B,B693,SALIDAS!D:D)</f>
        <v>0</v>
      </c>
      <c r="F693" s="89">
        <f t="shared" si="1"/>
        <v>0</v>
      </c>
      <c r="G693" s="90"/>
      <c r="H693" s="90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</row>
    <row r="694">
      <c r="A694" s="79"/>
      <c r="B694" s="88"/>
      <c r="C694" s="71" t="str">
        <f>IFERROR(VLOOKUP(B694 ,INVENTARIO!B747:C1000,2,0),"")</f>
        <v/>
      </c>
      <c r="D694" s="71">
        <f>SUMIF(ENTRADAS!B:B,B694,ENTRADAS!D:D)</f>
        <v>0</v>
      </c>
      <c r="E694" s="71">
        <f>SUMIF(SALIDAS!B:B,B694,SALIDAS!D:D)</f>
        <v>0</v>
      </c>
      <c r="F694" s="89">
        <f t="shared" si="1"/>
        <v>0</v>
      </c>
      <c r="G694" s="90"/>
      <c r="H694" s="90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</row>
    <row r="695">
      <c r="A695" s="79"/>
      <c r="B695" s="88"/>
      <c r="C695" s="71" t="str">
        <f>IFERROR(VLOOKUP(B695 ,INVENTARIO!B748:C1000,2,0),"")</f>
        <v/>
      </c>
      <c r="D695" s="71">
        <f>SUMIF(ENTRADAS!B:B,B695,ENTRADAS!D:D)</f>
        <v>0</v>
      </c>
      <c r="E695" s="71">
        <f>SUMIF(SALIDAS!B:B,B695,SALIDAS!D:D)</f>
        <v>0</v>
      </c>
      <c r="F695" s="89">
        <f t="shared" si="1"/>
        <v>0</v>
      </c>
      <c r="G695" s="90"/>
      <c r="H695" s="90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</row>
    <row r="696">
      <c r="A696" s="79"/>
      <c r="B696" s="88"/>
      <c r="C696" s="71" t="str">
        <f>IFERROR(VLOOKUP(B696 ,INVENTARIO!B749:C1000,2,0),"")</f>
        <v/>
      </c>
      <c r="D696" s="71">
        <f>SUMIF(ENTRADAS!B:B,B696,ENTRADAS!D:D)</f>
        <v>0</v>
      </c>
      <c r="E696" s="71">
        <f>SUMIF(SALIDAS!B:B,B696,SALIDAS!D:D)</f>
        <v>0</v>
      </c>
      <c r="F696" s="89">
        <f t="shared" si="1"/>
        <v>0</v>
      </c>
      <c r="G696" s="90"/>
      <c r="H696" s="90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</row>
    <row r="697">
      <c r="A697" s="79"/>
      <c r="B697" s="88"/>
      <c r="C697" s="71" t="str">
        <f>IFERROR(VLOOKUP(B697 ,INVENTARIO!B750:C1000,2,0),"")</f>
        <v/>
      </c>
      <c r="D697" s="71">
        <f>SUMIF(ENTRADAS!B:B,B697,ENTRADAS!D:D)</f>
        <v>0</v>
      </c>
      <c r="E697" s="71">
        <f>SUMIF(SALIDAS!B:B,B697,SALIDAS!D:D)</f>
        <v>0</v>
      </c>
      <c r="F697" s="89">
        <f t="shared" si="1"/>
        <v>0</v>
      </c>
      <c r="G697" s="90"/>
      <c r="H697" s="90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</row>
    <row r="698">
      <c r="A698" s="79"/>
      <c r="B698" s="88"/>
      <c r="C698" s="71" t="str">
        <f>IFERROR(VLOOKUP(B698 ,INVENTARIO!B751:C1000,2,0),"")</f>
        <v/>
      </c>
      <c r="D698" s="71">
        <f>SUMIF(ENTRADAS!B:B,B698,ENTRADAS!D:D)</f>
        <v>0</v>
      </c>
      <c r="E698" s="71">
        <f>SUMIF(SALIDAS!B:B,B698,SALIDAS!D:D)</f>
        <v>0</v>
      </c>
      <c r="F698" s="89">
        <f t="shared" si="1"/>
        <v>0</v>
      </c>
      <c r="G698" s="90"/>
      <c r="H698" s="90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</row>
    <row r="699">
      <c r="A699" s="79"/>
      <c r="B699" s="88"/>
      <c r="C699" s="71" t="str">
        <f>IFERROR(VLOOKUP(B699 ,INVENTARIO!B752:C1000,2,0),"")</f>
        <v/>
      </c>
      <c r="D699" s="71">
        <f>SUMIF(ENTRADAS!B:B,B699,ENTRADAS!D:D)</f>
        <v>0</v>
      </c>
      <c r="E699" s="71">
        <f>SUMIF(SALIDAS!B:B,B699,SALIDAS!D:D)</f>
        <v>0</v>
      </c>
      <c r="F699" s="89">
        <f t="shared" si="1"/>
        <v>0</v>
      </c>
      <c r="G699" s="90"/>
      <c r="H699" s="90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</row>
    <row r="700">
      <c r="A700" s="79"/>
      <c r="B700" s="88"/>
      <c r="C700" s="71" t="str">
        <f>IFERROR(VLOOKUP(B700 ,INVENTARIO!B753:C1000,2,0),"")</f>
        <v/>
      </c>
      <c r="D700" s="71">
        <f>SUMIF(ENTRADAS!B:B,B700,ENTRADAS!D:D)</f>
        <v>0</v>
      </c>
      <c r="E700" s="71">
        <f>SUMIF(SALIDAS!B:B,B700,SALIDAS!D:D)</f>
        <v>0</v>
      </c>
      <c r="F700" s="89">
        <f t="shared" si="1"/>
        <v>0</v>
      </c>
      <c r="G700" s="90"/>
      <c r="H700" s="90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</row>
    <row r="701">
      <c r="A701" s="79"/>
      <c r="B701" s="88"/>
      <c r="C701" s="71" t="str">
        <f>IFERROR(VLOOKUP(B701 ,INVENTARIO!B754:C1000,2,0),"")</f>
        <v/>
      </c>
      <c r="D701" s="71">
        <f>SUMIF(ENTRADAS!B:B,B701,ENTRADAS!D:D)</f>
        <v>0</v>
      </c>
      <c r="E701" s="71">
        <f>SUMIF(SALIDAS!B:B,B701,SALIDAS!D:D)</f>
        <v>0</v>
      </c>
      <c r="F701" s="89">
        <f t="shared" si="1"/>
        <v>0</v>
      </c>
      <c r="G701" s="90"/>
      <c r="H701" s="90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</row>
    <row r="702">
      <c r="A702" s="79"/>
      <c r="B702" s="88"/>
      <c r="C702" s="71" t="str">
        <f>IFERROR(VLOOKUP(B702 ,INVENTARIO!B755:C1000,2,0),"")</f>
        <v/>
      </c>
      <c r="D702" s="71">
        <f>SUMIF(ENTRADAS!B:B,B702,ENTRADAS!D:D)</f>
        <v>0</v>
      </c>
      <c r="E702" s="71">
        <f>SUMIF(SALIDAS!B:B,B702,SALIDAS!D:D)</f>
        <v>0</v>
      </c>
      <c r="F702" s="89">
        <f t="shared" si="1"/>
        <v>0</v>
      </c>
      <c r="G702" s="90"/>
      <c r="H702" s="90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</row>
    <row r="703">
      <c r="A703" s="79"/>
      <c r="B703" s="88"/>
      <c r="C703" s="71" t="str">
        <f>IFERROR(VLOOKUP(B703 ,INVENTARIO!B756:C1000,2,0),"")</f>
        <v/>
      </c>
      <c r="D703" s="71">
        <f>SUMIF(ENTRADAS!B:B,B703,ENTRADAS!D:D)</f>
        <v>0</v>
      </c>
      <c r="E703" s="71">
        <f>SUMIF(SALIDAS!B:B,B703,SALIDAS!D:D)</f>
        <v>0</v>
      </c>
      <c r="F703" s="89">
        <f t="shared" si="1"/>
        <v>0</v>
      </c>
      <c r="G703" s="90"/>
      <c r="H703" s="90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</row>
    <row r="704">
      <c r="A704" s="79"/>
      <c r="B704" s="88"/>
      <c r="C704" s="71" t="str">
        <f>IFERROR(VLOOKUP(B704 ,INVENTARIO!B757:C1000,2,0),"")</f>
        <v/>
      </c>
      <c r="D704" s="71">
        <f>SUMIF(ENTRADAS!B:B,B704,ENTRADAS!D:D)</f>
        <v>0</v>
      </c>
      <c r="E704" s="71">
        <f>SUMIF(SALIDAS!B:B,B704,SALIDAS!D:D)</f>
        <v>0</v>
      </c>
      <c r="F704" s="89">
        <f t="shared" si="1"/>
        <v>0</v>
      </c>
      <c r="G704" s="90"/>
      <c r="H704" s="90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</row>
    <row r="705">
      <c r="A705" s="79"/>
      <c r="B705" s="88"/>
      <c r="C705" s="71" t="str">
        <f>IFERROR(VLOOKUP(B705 ,INVENTARIO!B758:C1000,2,0),"")</f>
        <v/>
      </c>
      <c r="D705" s="71">
        <f>SUMIF(ENTRADAS!B:B,B705,ENTRADAS!D:D)</f>
        <v>0</v>
      </c>
      <c r="E705" s="71">
        <f>SUMIF(SALIDAS!B:B,B705,SALIDAS!D:D)</f>
        <v>0</v>
      </c>
      <c r="F705" s="89">
        <f t="shared" si="1"/>
        <v>0</v>
      </c>
      <c r="G705" s="90"/>
      <c r="H705" s="90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</row>
    <row r="706">
      <c r="A706" s="79"/>
      <c r="B706" s="88"/>
      <c r="C706" s="71" t="str">
        <f>IFERROR(VLOOKUP(B706 ,INVENTARIO!B759:C1000,2,0),"")</f>
        <v/>
      </c>
      <c r="D706" s="71">
        <f>SUMIF(ENTRADAS!B:B,B706,ENTRADAS!D:D)</f>
        <v>0</v>
      </c>
      <c r="E706" s="71">
        <f>SUMIF(SALIDAS!B:B,B706,SALIDAS!D:D)</f>
        <v>0</v>
      </c>
      <c r="F706" s="89">
        <f t="shared" si="1"/>
        <v>0</v>
      </c>
      <c r="G706" s="90"/>
      <c r="H706" s="90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</row>
    <row r="707">
      <c r="A707" s="79"/>
      <c r="B707" s="88"/>
      <c r="C707" s="71" t="str">
        <f>IFERROR(VLOOKUP(B707 ,INVENTARIO!B760:C1000,2,0),"")</f>
        <v/>
      </c>
      <c r="D707" s="71">
        <f>SUMIF(ENTRADAS!B:B,B707,ENTRADAS!D:D)</f>
        <v>0</v>
      </c>
      <c r="E707" s="71">
        <f>SUMIF(SALIDAS!B:B,B707,SALIDAS!D:D)</f>
        <v>0</v>
      </c>
      <c r="F707" s="89">
        <f t="shared" si="1"/>
        <v>0</v>
      </c>
      <c r="G707" s="90"/>
      <c r="H707" s="90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</row>
    <row r="708">
      <c r="A708" s="79"/>
      <c r="B708" s="88"/>
      <c r="C708" s="71" t="str">
        <f>IFERROR(VLOOKUP(B708 ,INVENTARIO!B761:C1000,2,0),"")</f>
        <v/>
      </c>
      <c r="D708" s="71">
        <f>SUMIF(ENTRADAS!B:B,B708,ENTRADAS!D:D)</f>
        <v>0</v>
      </c>
      <c r="E708" s="71">
        <f>SUMIF(SALIDAS!B:B,B708,SALIDAS!D:D)</f>
        <v>0</v>
      </c>
      <c r="F708" s="89">
        <f t="shared" si="1"/>
        <v>0</v>
      </c>
      <c r="G708" s="90"/>
      <c r="H708" s="90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</row>
    <row r="709">
      <c r="A709" s="79"/>
      <c r="B709" s="88"/>
      <c r="C709" s="71" t="str">
        <f>IFERROR(VLOOKUP(B709 ,INVENTARIO!B762:C1000,2,0),"")</f>
        <v/>
      </c>
      <c r="D709" s="71">
        <f>SUMIF(ENTRADAS!B:B,B709,ENTRADAS!D:D)</f>
        <v>0</v>
      </c>
      <c r="E709" s="71">
        <f>SUMIF(SALIDAS!B:B,B709,SALIDAS!D:D)</f>
        <v>0</v>
      </c>
      <c r="F709" s="89">
        <f t="shared" si="1"/>
        <v>0</v>
      </c>
      <c r="G709" s="90"/>
      <c r="H709" s="90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</row>
    <row r="710">
      <c r="A710" s="79"/>
      <c r="B710" s="88"/>
      <c r="C710" s="71" t="str">
        <f>IFERROR(VLOOKUP(B710 ,INVENTARIO!B764:C1000,2,0),"")</f>
        <v/>
      </c>
      <c r="D710" s="71">
        <f>SUMIF(ENTRADAS!B:B,B710,ENTRADAS!D:D)</f>
        <v>0</v>
      </c>
      <c r="E710" s="71">
        <f>SUMIF(SALIDAS!B:B,B710,SALIDAS!D:D)</f>
        <v>0</v>
      </c>
      <c r="F710" s="89">
        <f t="shared" si="1"/>
        <v>0</v>
      </c>
      <c r="G710" s="90"/>
      <c r="H710" s="90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</row>
    <row r="711">
      <c r="A711" s="79"/>
      <c r="B711" s="88"/>
      <c r="C711" s="71" t="str">
        <f>IFERROR(VLOOKUP(B711 ,INVENTARIO!B765:C1000,2,0),"")</f>
        <v/>
      </c>
      <c r="D711" s="71">
        <f>SUMIF(ENTRADAS!B:B,B711,ENTRADAS!D:D)</f>
        <v>0</v>
      </c>
      <c r="E711" s="71">
        <f>SUMIF(SALIDAS!B:B,B711,SALIDAS!D:D)</f>
        <v>0</v>
      </c>
      <c r="F711" s="89">
        <f t="shared" si="1"/>
        <v>0</v>
      </c>
      <c r="G711" s="90"/>
      <c r="H711" s="90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</row>
    <row r="712">
      <c r="A712" s="79"/>
      <c r="B712" s="88"/>
      <c r="C712" s="71" t="str">
        <f>IFERROR(VLOOKUP(B712 ,INVENTARIO!B765:C1000,2,0),"")</f>
        <v/>
      </c>
      <c r="D712" s="71">
        <f>SUMIF(ENTRADAS!B:B,B712,ENTRADAS!D:D)</f>
        <v>0</v>
      </c>
      <c r="E712" s="71">
        <f>SUMIF(SALIDAS!B:B,B712,SALIDAS!D:D)</f>
        <v>0</v>
      </c>
      <c r="F712" s="89">
        <f t="shared" si="1"/>
        <v>0</v>
      </c>
      <c r="G712" s="90"/>
      <c r="H712" s="90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</row>
    <row r="713">
      <c r="A713" s="79"/>
      <c r="B713" s="88"/>
      <c r="C713" s="71" t="str">
        <f>IFERROR(VLOOKUP(B713 ,INVENTARIO!B766:C1000,2,0),"")</f>
        <v/>
      </c>
      <c r="D713" s="71">
        <f>SUMIF(ENTRADAS!B:B,B713,ENTRADAS!D:D)</f>
        <v>0</v>
      </c>
      <c r="E713" s="71">
        <f>SUMIF(SALIDAS!B:B,B713,SALIDAS!D:D)</f>
        <v>0</v>
      </c>
      <c r="F713" s="89">
        <f t="shared" si="1"/>
        <v>0</v>
      </c>
      <c r="G713" s="90"/>
      <c r="H713" s="90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</row>
    <row r="714">
      <c r="A714" s="79"/>
      <c r="B714" s="88"/>
      <c r="C714" s="71" t="str">
        <f>IFERROR(VLOOKUP(B714 ,INVENTARIO!B767:C1000,2,0),"")</f>
        <v/>
      </c>
      <c r="D714" s="71">
        <f>SUMIF(ENTRADAS!B:B,B714,ENTRADAS!D:D)</f>
        <v>0</v>
      </c>
      <c r="E714" s="71">
        <f>SUMIF(SALIDAS!B:B,B714,SALIDAS!D:D)</f>
        <v>0</v>
      </c>
      <c r="F714" s="89">
        <f t="shared" si="1"/>
        <v>0</v>
      </c>
      <c r="G714" s="90"/>
      <c r="H714" s="90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</row>
    <row r="715">
      <c r="A715" s="79"/>
      <c r="B715" s="88"/>
      <c r="C715" s="71" t="str">
        <f>IFERROR(VLOOKUP(B715 ,INVENTARIO!B768:C1000,2,0),"")</f>
        <v/>
      </c>
      <c r="D715" s="71">
        <f>SUMIF(ENTRADAS!B:B,B715,ENTRADAS!D:D)</f>
        <v>0</v>
      </c>
      <c r="E715" s="71">
        <f>SUMIF(SALIDAS!B:B,B715,SALIDAS!D:D)</f>
        <v>0</v>
      </c>
      <c r="F715" s="89">
        <f t="shared" si="1"/>
        <v>0</v>
      </c>
      <c r="G715" s="90"/>
      <c r="H715" s="90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</row>
    <row r="716">
      <c r="A716" s="79"/>
      <c r="B716" s="88"/>
      <c r="C716" s="71" t="str">
        <f>IFERROR(VLOOKUP(B716 ,INVENTARIO!B769:C1000,2,0),"")</f>
        <v/>
      </c>
      <c r="D716" s="71">
        <f>SUMIF(ENTRADAS!B:B,B716,ENTRADAS!D:D)</f>
        <v>0</v>
      </c>
      <c r="E716" s="71">
        <f>SUMIF(SALIDAS!B:B,B716,SALIDAS!D:D)</f>
        <v>0</v>
      </c>
      <c r="F716" s="89">
        <f t="shared" si="1"/>
        <v>0</v>
      </c>
      <c r="G716" s="90"/>
      <c r="H716" s="90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</row>
    <row r="717">
      <c r="A717" s="79"/>
      <c r="B717" s="88"/>
      <c r="C717" s="71" t="str">
        <f>IFERROR(VLOOKUP(B717 ,INVENTARIO!B770:C1000,2,0),"")</f>
        <v/>
      </c>
      <c r="D717" s="71">
        <f>SUMIF(ENTRADAS!B:B,B717,ENTRADAS!D:D)</f>
        <v>0</v>
      </c>
      <c r="E717" s="71">
        <f>SUMIF(SALIDAS!B:B,B717,SALIDAS!D:D)</f>
        <v>0</v>
      </c>
      <c r="F717" s="89">
        <f t="shared" si="1"/>
        <v>0</v>
      </c>
      <c r="G717" s="90"/>
      <c r="H717" s="90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</row>
    <row r="718">
      <c r="A718" s="79"/>
      <c r="B718" s="88"/>
      <c r="C718" s="71" t="str">
        <f>IFERROR(VLOOKUP(B718 ,INVENTARIO!B771:C1000,2,0),"")</f>
        <v/>
      </c>
      <c r="D718" s="71">
        <f>SUMIF(ENTRADAS!B:B,B718,ENTRADAS!D:D)</f>
        <v>0</v>
      </c>
      <c r="E718" s="71">
        <f>SUMIF(SALIDAS!B:B,B718,SALIDAS!D:D)</f>
        <v>0</v>
      </c>
      <c r="F718" s="89">
        <f t="shared" si="1"/>
        <v>0</v>
      </c>
      <c r="G718" s="90"/>
      <c r="H718" s="90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</row>
    <row r="719">
      <c r="A719" s="79"/>
      <c r="B719" s="88"/>
      <c r="C719" s="71" t="str">
        <f>IFERROR(VLOOKUP(B719 ,INVENTARIO!B772:C1000,2,0),"")</f>
        <v/>
      </c>
      <c r="D719" s="71">
        <f>SUMIF(ENTRADAS!B:B,B719,ENTRADAS!D:D)</f>
        <v>0</v>
      </c>
      <c r="E719" s="71">
        <f>SUMIF(SALIDAS!B:B,B719,SALIDAS!D:D)</f>
        <v>0</v>
      </c>
      <c r="F719" s="89">
        <f t="shared" si="1"/>
        <v>0</v>
      </c>
      <c r="G719" s="90"/>
      <c r="H719" s="90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</row>
    <row r="720">
      <c r="A720" s="79"/>
      <c r="B720" s="88"/>
      <c r="C720" s="71" t="str">
        <f>IFERROR(VLOOKUP(B720 ,INVENTARIO!B773:C1000,2,0),"")</f>
        <v/>
      </c>
      <c r="D720" s="71">
        <f>SUMIF(ENTRADAS!B:B,B720,ENTRADAS!D:D)</f>
        <v>0</v>
      </c>
      <c r="E720" s="71">
        <f>SUMIF(SALIDAS!B:B,B720,SALIDAS!D:D)</f>
        <v>0</v>
      </c>
      <c r="F720" s="89">
        <f t="shared" si="1"/>
        <v>0</v>
      </c>
      <c r="G720" s="90"/>
      <c r="H720" s="90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</row>
    <row r="721">
      <c r="A721" s="79"/>
      <c r="B721" s="88"/>
      <c r="C721" s="71" t="str">
        <f>IFERROR(VLOOKUP(B721 ,INVENTARIO!B774:C1000,2,0),"")</f>
        <v/>
      </c>
      <c r="D721" s="71">
        <f>SUMIF(ENTRADAS!B:B,B721,ENTRADAS!D:D)</f>
        <v>0</v>
      </c>
      <c r="E721" s="71">
        <f>SUMIF(SALIDAS!B:B,B721,SALIDAS!D:D)</f>
        <v>0</v>
      </c>
      <c r="F721" s="89">
        <f t="shared" si="1"/>
        <v>0</v>
      </c>
      <c r="G721" s="90"/>
      <c r="H721" s="90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</row>
    <row r="722">
      <c r="A722" s="79"/>
      <c r="B722" s="88"/>
      <c r="C722" s="71" t="str">
        <f>IFERROR(VLOOKUP(B722 ,INVENTARIO!B775:C1000,2,0),"")</f>
        <v/>
      </c>
      <c r="D722" s="71">
        <f>SUMIF(ENTRADAS!B:B,B722,ENTRADAS!D:D)</f>
        <v>0</v>
      </c>
      <c r="E722" s="71">
        <f>SUMIF(SALIDAS!B:B,B722,SALIDAS!D:D)</f>
        <v>0</v>
      </c>
      <c r="F722" s="89">
        <f t="shared" si="1"/>
        <v>0</v>
      </c>
      <c r="G722" s="90"/>
      <c r="H722" s="90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</row>
    <row r="723">
      <c r="A723" s="79"/>
      <c r="B723" s="88"/>
      <c r="C723" s="71" t="str">
        <f>IFERROR(VLOOKUP(B723 ,INVENTARIO!B776:C1000,2,0),"")</f>
        <v/>
      </c>
      <c r="D723" s="71">
        <f>SUMIF(ENTRADAS!B:B,B723,ENTRADAS!D:D)</f>
        <v>0</v>
      </c>
      <c r="E723" s="71">
        <f>SUMIF(SALIDAS!B:B,B723,SALIDAS!D:D)</f>
        <v>0</v>
      </c>
      <c r="F723" s="89">
        <f t="shared" si="1"/>
        <v>0</v>
      </c>
      <c r="G723" s="90"/>
      <c r="H723" s="90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</row>
    <row r="724">
      <c r="A724" s="79"/>
      <c r="B724" s="88"/>
      <c r="C724" s="71" t="str">
        <f>IFERROR(VLOOKUP(B724 ,INVENTARIO!B777:C1000,2,0),"")</f>
        <v/>
      </c>
      <c r="D724" s="71">
        <f>SUMIF(ENTRADAS!B:B,B724,ENTRADAS!D:D)</f>
        <v>0</v>
      </c>
      <c r="E724" s="71">
        <f>SUMIF(SALIDAS!B:B,B724,SALIDAS!D:D)</f>
        <v>0</v>
      </c>
      <c r="F724" s="89">
        <f t="shared" si="1"/>
        <v>0</v>
      </c>
      <c r="G724" s="90"/>
      <c r="H724" s="90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</row>
    <row r="725">
      <c r="A725" s="79"/>
      <c r="B725" s="88"/>
      <c r="C725" s="71" t="str">
        <f>IFERROR(VLOOKUP(B725 ,INVENTARIO!B778:C1000,2,0),"")</f>
        <v/>
      </c>
      <c r="D725" s="71">
        <f>SUMIF(ENTRADAS!B:B,B725,ENTRADAS!D:D)</f>
        <v>0</v>
      </c>
      <c r="E725" s="71">
        <f>SUMIF(SALIDAS!B:B,B725,SALIDAS!D:D)</f>
        <v>0</v>
      </c>
      <c r="F725" s="89">
        <f t="shared" si="1"/>
        <v>0</v>
      </c>
      <c r="G725" s="90"/>
      <c r="H725" s="90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</row>
    <row r="726">
      <c r="A726" s="79"/>
      <c r="B726" s="88"/>
      <c r="C726" s="71" t="str">
        <f>IFERROR(VLOOKUP(B726 ,INVENTARIO!B779:C1000,2,0),"")</f>
        <v/>
      </c>
      <c r="D726" s="71">
        <f>SUMIF(ENTRADAS!B:B,B726,ENTRADAS!D:D)</f>
        <v>0</v>
      </c>
      <c r="E726" s="71">
        <f>SUMIF(SALIDAS!B:B,B726,SALIDAS!D:D)</f>
        <v>0</v>
      </c>
      <c r="F726" s="89">
        <f t="shared" si="1"/>
        <v>0</v>
      </c>
      <c r="G726" s="90"/>
      <c r="H726" s="90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</row>
    <row r="727">
      <c r="A727" s="79"/>
      <c r="B727" s="88"/>
      <c r="C727" s="71" t="str">
        <f>IFERROR(VLOOKUP(B727 ,INVENTARIO!B780:C1000,2,0),"")</f>
        <v/>
      </c>
      <c r="D727" s="71">
        <f>SUMIF(ENTRADAS!B:B,B727,ENTRADAS!D:D)</f>
        <v>0</v>
      </c>
      <c r="E727" s="71">
        <f>SUMIF(SALIDAS!B:B,B727,SALIDAS!D:D)</f>
        <v>0</v>
      </c>
      <c r="F727" s="89">
        <f t="shared" si="1"/>
        <v>0</v>
      </c>
      <c r="G727" s="90"/>
      <c r="H727" s="90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</row>
    <row r="728">
      <c r="A728" s="79"/>
      <c r="B728" s="88"/>
      <c r="C728" s="71" t="str">
        <f>IFERROR(VLOOKUP(B728 ,INVENTARIO!B781:C1000,2,0),"")</f>
        <v/>
      </c>
      <c r="D728" s="71">
        <f>SUMIF(ENTRADAS!B:B,B728,ENTRADAS!D:D)</f>
        <v>0</v>
      </c>
      <c r="E728" s="71">
        <f>SUMIF(SALIDAS!B:B,B728,SALIDAS!D:D)</f>
        <v>0</v>
      </c>
      <c r="F728" s="89">
        <f t="shared" si="1"/>
        <v>0</v>
      </c>
      <c r="G728" s="90"/>
      <c r="H728" s="90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</row>
    <row r="729">
      <c r="A729" s="79"/>
      <c r="B729" s="88"/>
      <c r="C729" s="71" t="str">
        <f>IFERROR(VLOOKUP(B729 ,INVENTARIO!B782:C1000,2,0),"")</f>
        <v/>
      </c>
      <c r="D729" s="71">
        <f>SUMIF(ENTRADAS!B:B,B729,ENTRADAS!D:D)</f>
        <v>0</v>
      </c>
      <c r="E729" s="71">
        <f>SUMIF(SALIDAS!B:B,B729,SALIDAS!D:D)</f>
        <v>0</v>
      </c>
      <c r="F729" s="89">
        <f t="shared" si="1"/>
        <v>0</v>
      </c>
      <c r="G729" s="90"/>
      <c r="H729" s="90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</row>
    <row r="730">
      <c r="A730" s="79"/>
      <c r="B730" s="88"/>
      <c r="C730" s="71" t="str">
        <f>IFERROR(VLOOKUP(B730 ,INVENTARIO!B783:C1000,2,0),"")</f>
        <v/>
      </c>
      <c r="D730" s="71">
        <f>SUMIF(ENTRADAS!B:B,B730,ENTRADAS!D:D)</f>
        <v>0</v>
      </c>
      <c r="E730" s="71">
        <f>SUMIF(SALIDAS!B:B,B730,SALIDAS!D:D)</f>
        <v>0</v>
      </c>
      <c r="F730" s="89">
        <f t="shared" si="1"/>
        <v>0</v>
      </c>
      <c r="G730" s="90"/>
      <c r="H730" s="90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</row>
    <row r="731">
      <c r="A731" s="79"/>
      <c r="B731" s="88"/>
      <c r="C731" s="71" t="str">
        <f>IFERROR(VLOOKUP(B731 ,INVENTARIO!B784:C1000,2,0),"")</f>
        <v/>
      </c>
      <c r="D731" s="71">
        <f>SUMIF(ENTRADAS!B:B,B731,ENTRADAS!D:D)</f>
        <v>0</v>
      </c>
      <c r="E731" s="71">
        <f>SUMIF(SALIDAS!B:B,B731,SALIDAS!D:D)</f>
        <v>0</v>
      </c>
      <c r="F731" s="89">
        <f t="shared" si="1"/>
        <v>0</v>
      </c>
      <c r="G731" s="90"/>
      <c r="H731" s="90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</row>
    <row r="732">
      <c r="A732" s="79"/>
      <c r="B732" s="88"/>
      <c r="C732" s="71" t="str">
        <f>IFERROR(VLOOKUP(B732 ,INVENTARIO!B785:C1000,2,0),"")</f>
        <v/>
      </c>
      <c r="D732" s="71">
        <f>SUMIF(ENTRADAS!B:B,B732,ENTRADAS!D:D)</f>
        <v>0</v>
      </c>
      <c r="E732" s="71">
        <f>SUMIF(SALIDAS!B:B,B732,SALIDAS!D:D)</f>
        <v>0</v>
      </c>
      <c r="F732" s="89">
        <f t="shared" si="1"/>
        <v>0</v>
      </c>
      <c r="G732" s="90"/>
      <c r="H732" s="90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</row>
    <row r="733">
      <c r="A733" s="79"/>
      <c r="B733" s="88"/>
      <c r="C733" s="71" t="str">
        <f>IFERROR(VLOOKUP(B733 ,INVENTARIO!B786:C1000,2,0),"")</f>
        <v/>
      </c>
      <c r="D733" s="71">
        <f>SUMIF(ENTRADAS!B:B,B733,ENTRADAS!D:D)</f>
        <v>0</v>
      </c>
      <c r="E733" s="71">
        <f>SUMIF(SALIDAS!B:B,B733,SALIDAS!D:D)</f>
        <v>0</v>
      </c>
      <c r="F733" s="89">
        <f t="shared" si="1"/>
        <v>0</v>
      </c>
      <c r="G733" s="90"/>
      <c r="H733" s="90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</row>
    <row r="734">
      <c r="A734" s="79"/>
      <c r="B734" s="88"/>
      <c r="C734" s="71" t="str">
        <f>IFERROR(VLOOKUP(B734 ,INVENTARIO!B787:C1000,2,0),"")</f>
        <v/>
      </c>
      <c r="D734" s="71">
        <f>SUMIF(ENTRADAS!B:B,B734,ENTRADAS!D:D)</f>
        <v>0</v>
      </c>
      <c r="E734" s="71">
        <f>SUMIF(SALIDAS!B:B,B734,SALIDAS!D:D)</f>
        <v>0</v>
      </c>
      <c r="F734" s="89">
        <f t="shared" si="1"/>
        <v>0</v>
      </c>
      <c r="G734" s="90"/>
      <c r="H734" s="90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</row>
    <row r="735">
      <c r="A735" s="79"/>
      <c r="B735" s="88"/>
      <c r="C735" s="71" t="str">
        <f>IFERROR(VLOOKUP(B735 ,INVENTARIO!B788:C1000,2,0),"")</f>
        <v/>
      </c>
      <c r="D735" s="71">
        <f>SUMIF(ENTRADAS!B:B,B735,ENTRADAS!D:D)</f>
        <v>0</v>
      </c>
      <c r="E735" s="71">
        <f>SUMIF(SALIDAS!B:B,B735,SALIDAS!D:D)</f>
        <v>0</v>
      </c>
      <c r="F735" s="89">
        <f t="shared" si="1"/>
        <v>0</v>
      </c>
      <c r="G735" s="90"/>
      <c r="H735" s="90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</row>
    <row r="736">
      <c r="A736" s="79"/>
      <c r="B736" s="88"/>
      <c r="C736" s="71" t="str">
        <f>IFERROR(VLOOKUP(B736 ,INVENTARIO!B789:C1000,2,0),"")</f>
        <v/>
      </c>
      <c r="D736" s="71">
        <f>SUMIF(ENTRADAS!B:B,B736,ENTRADAS!D:D)</f>
        <v>0</v>
      </c>
      <c r="E736" s="71">
        <f>SUMIF(SALIDAS!B:B,B736,SALIDAS!D:D)</f>
        <v>0</v>
      </c>
      <c r="F736" s="89">
        <f t="shared" si="1"/>
        <v>0</v>
      </c>
      <c r="G736" s="90"/>
      <c r="H736" s="90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</row>
    <row r="737">
      <c r="A737" s="79"/>
      <c r="B737" s="88"/>
      <c r="C737" s="71" t="str">
        <f>IFERROR(VLOOKUP(B737 ,INVENTARIO!B790:C1000,2,0),"")</f>
        <v/>
      </c>
      <c r="D737" s="71">
        <f>SUMIF(ENTRADAS!B:B,B737,ENTRADAS!D:D)</f>
        <v>0</v>
      </c>
      <c r="E737" s="71">
        <f>SUMIF(SALIDAS!B:B,B737,SALIDAS!D:D)</f>
        <v>0</v>
      </c>
      <c r="F737" s="89">
        <f t="shared" si="1"/>
        <v>0</v>
      </c>
      <c r="G737" s="90"/>
      <c r="H737" s="90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</row>
    <row r="738">
      <c r="A738" s="79"/>
      <c r="B738" s="88"/>
      <c r="C738" s="71" t="str">
        <f>IFERROR(VLOOKUP(B738 ,INVENTARIO!B791:C1000,2,0),"")</f>
        <v/>
      </c>
      <c r="D738" s="71">
        <f>SUMIF(ENTRADAS!B:B,B738,ENTRADAS!D:D)</f>
        <v>0</v>
      </c>
      <c r="E738" s="71">
        <f>SUMIF(SALIDAS!B:B,B738,SALIDAS!D:D)</f>
        <v>0</v>
      </c>
      <c r="F738" s="89">
        <f t="shared" si="1"/>
        <v>0</v>
      </c>
      <c r="G738" s="90"/>
      <c r="H738" s="90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</row>
    <row r="739">
      <c r="A739" s="79"/>
      <c r="B739" s="88"/>
      <c r="C739" s="71" t="str">
        <f>IFERROR(VLOOKUP(B739 ,INVENTARIO!B792:C1000,2,0),"")</f>
        <v/>
      </c>
      <c r="D739" s="71">
        <f>SUMIF(ENTRADAS!B:B,B739,ENTRADAS!D:D)</f>
        <v>0</v>
      </c>
      <c r="E739" s="71">
        <f>SUMIF(SALIDAS!B:B,B739,SALIDAS!D:D)</f>
        <v>0</v>
      </c>
      <c r="F739" s="89">
        <f t="shared" si="1"/>
        <v>0</v>
      </c>
      <c r="G739" s="90"/>
      <c r="H739" s="90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</row>
    <row r="740">
      <c r="A740" s="79"/>
      <c r="B740" s="88"/>
      <c r="C740" s="71" t="str">
        <f>IFERROR(VLOOKUP(B740 ,INVENTARIO!B793:C1000,2,0),"")</f>
        <v/>
      </c>
      <c r="D740" s="71">
        <f>SUMIF(ENTRADAS!B:B,B740,ENTRADAS!D:D)</f>
        <v>0</v>
      </c>
      <c r="E740" s="71">
        <f>SUMIF(SALIDAS!B:B,B740,SALIDAS!D:D)</f>
        <v>0</v>
      </c>
      <c r="F740" s="89">
        <f t="shared" si="1"/>
        <v>0</v>
      </c>
      <c r="G740" s="90"/>
      <c r="H740" s="90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</row>
    <row r="741">
      <c r="A741" s="79"/>
      <c r="B741" s="88"/>
      <c r="C741" s="71" t="str">
        <f>IFERROR(VLOOKUP(B741 ,INVENTARIO!B794:C1000,2,0),"")</f>
        <v/>
      </c>
      <c r="D741" s="71">
        <f>SUMIF(ENTRADAS!B:B,B741,ENTRADAS!D:D)</f>
        <v>0</v>
      </c>
      <c r="E741" s="71">
        <f>SUMIF(SALIDAS!B:B,B741,SALIDAS!D:D)</f>
        <v>0</v>
      </c>
      <c r="F741" s="89">
        <f t="shared" si="1"/>
        <v>0</v>
      </c>
      <c r="G741" s="90"/>
      <c r="H741" s="90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</row>
    <row r="742">
      <c r="A742" s="79"/>
      <c r="B742" s="88"/>
      <c r="C742" s="71" t="str">
        <f>IFERROR(VLOOKUP(B742 ,INVENTARIO!B795:C1000,2,0),"")</f>
        <v/>
      </c>
      <c r="D742" s="71">
        <f>SUMIF(ENTRADAS!B:B,B742,ENTRADAS!D:D)</f>
        <v>0</v>
      </c>
      <c r="E742" s="71">
        <f>SUMIF(SALIDAS!B:B,B742,SALIDAS!D:D)</f>
        <v>0</v>
      </c>
      <c r="F742" s="89">
        <f t="shared" si="1"/>
        <v>0</v>
      </c>
      <c r="G742" s="90"/>
      <c r="H742" s="90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</row>
    <row r="743">
      <c r="A743" s="79"/>
      <c r="B743" s="88"/>
      <c r="C743" s="71" t="str">
        <f>IFERROR(VLOOKUP(B743 ,INVENTARIO!B796:C1000,2,0),"")</f>
        <v/>
      </c>
      <c r="D743" s="71">
        <f>SUMIF(ENTRADAS!B:B,B743,ENTRADAS!D:D)</f>
        <v>0</v>
      </c>
      <c r="E743" s="71">
        <f>SUMIF(SALIDAS!B:B,B743,SALIDAS!D:D)</f>
        <v>0</v>
      </c>
      <c r="F743" s="89">
        <f t="shared" si="1"/>
        <v>0</v>
      </c>
      <c r="G743" s="90"/>
      <c r="H743" s="90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</row>
    <row r="744">
      <c r="A744" s="79"/>
      <c r="B744" s="88"/>
      <c r="C744" s="71" t="str">
        <f>IFERROR(VLOOKUP(B744 ,INVENTARIO!B797:C1000,2,0),"")</f>
        <v/>
      </c>
      <c r="D744" s="71">
        <f>SUMIF(ENTRADAS!B:B,B744,ENTRADAS!D:D)</f>
        <v>0</v>
      </c>
      <c r="E744" s="71">
        <f>SUMIF(SALIDAS!B:B,B744,SALIDAS!D:D)</f>
        <v>0</v>
      </c>
      <c r="F744" s="89">
        <f t="shared" si="1"/>
        <v>0</v>
      </c>
      <c r="G744" s="90"/>
      <c r="H744" s="90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</row>
    <row r="745">
      <c r="A745" s="79"/>
      <c r="B745" s="88"/>
      <c r="C745" s="71" t="str">
        <f>IFERROR(VLOOKUP(B745 ,INVENTARIO!B798:C1000,2,0),"")</f>
        <v/>
      </c>
      <c r="D745" s="71">
        <f>SUMIF(ENTRADAS!B:B,B745,ENTRADAS!D:D)</f>
        <v>0</v>
      </c>
      <c r="E745" s="71">
        <f>SUMIF(SALIDAS!B:B,B745,SALIDAS!D:D)</f>
        <v>0</v>
      </c>
      <c r="F745" s="89">
        <f t="shared" si="1"/>
        <v>0</v>
      </c>
      <c r="G745" s="90"/>
      <c r="H745" s="90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</row>
    <row r="746">
      <c r="A746" s="79"/>
      <c r="B746" s="88"/>
      <c r="C746" s="71" t="str">
        <f>IFERROR(VLOOKUP(B746 ,INVENTARIO!B799:C1000,2,0),"")</f>
        <v/>
      </c>
      <c r="D746" s="71">
        <f>SUMIF(ENTRADAS!B:B,B746,ENTRADAS!D:D)</f>
        <v>0</v>
      </c>
      <c r="E746" s="71">
        <f>SUMIF(SALIDAS!B:B,B746,SALIDAS!D:D)</f>
        <v>0</v>
      </c>
      <c r="F746" s="89">
        <f t="shared" si="1"/>
        <v>0</v>
      </c>
      <c r="G746" s="90"/>
      <c r="H746" s="90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</row>
    <row r="747">
      <c r="A747" s="79"/>
      <c r="B747" s="88"/>
      <c r="C747" s="71" t="str">
        <f>IFERROR(VLOOKUP(B747 ,INVENTARIO!B800:C1000,2,0),"")</f>
        <v/>
      </c>
      <c r="D747" s="71">
        <f>SUMIF(ENTRADAS!B:B,B747,ENTRADAS!D:D)</f>
        <v>0</v>
      </c>
      <c r="E747" s="71">
        <f>SUMIF(SALIDAS!B:B,B747,SALIDAS!D:D)</f>
        <v>0</v>
      </c>
      <c r="F747" s="89">
        <f t="shared" si="1"/>
        <v>0</v>
      </c>
      <c r="G747" s="90"/>
      <c r="H747" s="90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</row>
    <row r="748">
      <c r="A748" s="79"/>
      <c r="B748" s="88"/>
      <c r="C748" s="71" t="str">
        <f>IFERROR(VLOOKUP(B748 ,INVENTARIO!B801:C1000,2,0),"")</f>
        <v/>
      </c>
      <c r="D748" s="71">
        <f>SUMIF(ENTRADAS!B:B,B748,ENTRADAS!D:D)</f>
        <v>0</v>
      </c>
      <c r="E748" s="71">
        <f>SUMIF(SALIDAS!B:B,B748,SALIDAS!D:D)</f>
        <v>0</v>
      </c>
      <c r="F748" s="89">
        <f t="shared" si="1"/>
        <v>0</v>
      </c>
      <c r="G748" s="90"/>
      <c r="H748" s="90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</row>
    <row r="749">
      <c r="A749" s="79"/>
      <c r="B749" s="88"/>
      <c r="C749" s="71" t="str">
        <f>IFERROR(VLOOKUP(B749 ,INVENTARIO!B802:C1000,2,0),"")</f>
        <v/>
      </c>
      <c r="D749" s="71">
        <f>SUMIF(ENTRADAS!B:B,B749,ENTRADAS!D:D)</f>
        <v>0</v>
      </c>
      <c r="E749" s="71">
        <f>SUMIF(SALIDAS!B:B,B749,SALIDAS!D:D)</f>
        <v>0</v>
      </c>
      <c r="F749" s="89">
        <f t="shared" si="1"/>
        <v>0</v>
      </c>
      <c r="G749" s="90"/>
      <c r="H749" s="90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</row>
    <row r="750">
      <c r="A750" s="79"/>
      <c r="B750" s="88"/>
      <c r="C750" s="71" t="str">
        <f>IFERROR(VLOOKUP(B750 ,INVENTARIO!B803:C1000,2,0),"")</f>
        <v/>
      </c>
      <c r="D750" s="71">
        <f>SUMIF(ENTRADAS!B:B,B750,ENTRADAS!D:D)</f>
        <v>0</v>
      </c>
      <c r="E750" s="71">
        <f>SUMIF(SALIDAS!B:B,B750,SALIDAS!D:D)</f>
        <v>0</v>
      </c>
      <c r="F750" s="89">
        <f t="shared" si="1"/>
        <v>0</v>
      </c>
      <c r="G750" s="90"/>
      <c r="H750" s="90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</row>
    <row r="751">
      <c r="A751" s="79"/>
      <c r="B751" s="88"/>
      <c r="C751" s="71" t="str">
        <f>IFERROR(VLOOKUP(B751 ,INVENTARIO!B804:C1000,2,0),"")</f>
        <v/>
      </c>
      <c r="D751" s="71">
        <f>SUMIF(ENTRADAS!B:B,B751,ENTRADAS!D:D)</f>
        <v>0</v>
      </c>
      <c r="E751" s="71">
        <f>SUMIF(SALIDAS!B:B,B751,SALIDAS!D:D)</f>
        <v>0</v>
      </c>
      <c r="F751" s="89">
        <f t="shared" si="1"/>
        <v>0</v>
      </c>
      <c r="G751" s="90"/>
      <c r="H751" s="90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  <row r="752">
      <c r="A752" s="79"/>
      <c r="B752" s="88"/>
      <c r="C752" s="71" t="str">
        <f>IFERROR(VLOOKUP(B752 ,INVENTARIO!B805:C1000,2,0),"")</f>
        <v/>
      </c>
      <c r="D752" s="71">
        <f>SUMIF(ENTRADAS!B:B,B752,ENTRADAS!D:D)</f>
        <v>0</v>
      </c>
      <c r="E752" s="71">
        <f>SUMIF(SALIDAS!B:B,B752,SALIDAS!D:D)</f>
        <v>0</v>
      </c>
      <c r="F752" s="89">
        <f t="shared" si="1"/>
        <v>0</v>
      </c>
      <c r="G752" s="90"/>
      <c r="H752" s="90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</row>
    <row r="753">
      <c r="A753" s="79"/>
      <c r="B753" s="88"/>
      <c r="C753" s="71" t="str">
        <f>IFERROR(VLOOKUP(B753 ,INVENTARIO!B806:C1000,2,0),"")</f>
        <v/>
      </c>
      <c r="D753" s="71">
        <f>SUMIF(ENTRADAS!B:B,B753,ENTRADAS!D:D)</f>
        <v>0</v>
      </c>
      <c r="E753" s="71">
        <f>SUMIF(SALIDAS!B:B,B753,SALIDAS!D:D)</f>
        <v>0</v>
      </c>
      <c r="F753" s="89">
        <f t="shared" si="1"/>
        <v>0</v>
      </c>
      <c r="G753" s="90"/>
      <c r="H753" s="90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</row>
    <row r="754">
      <c r="A754" s="79"/>
      <c r="B754" s="88"/>
      <c r="C754" s="71" t="str">
        <f>IFERROR(VLOOKUP(B754 ,INVENTARIO!B807:C1000,2,0),"")</f>
        <v/>
      </c>
      <c r="D754" s="71">
        <f>SUMIF(ENTRADAS!B:B,B754,ENTRADAS!D:D)</f>
        <v>0</v>
      </c>
      <c r="E754" s="71">
        <f>SUMIF(SALIDAS!B:B,B754,SALIDAS!D:D)</f>
        <v>0</v>
      </c>
      <c r="F754" s="89">
        <f t="shared" si="1"/>
        <v>0</v>
      </c>
      <c r="G754" s="90"/>
      <c r="H754" s="90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</row>
    <row r="755">
      <c r="A755" s="79"/>
      <c r="B755" s="88"/>
      <c r="C755" s="71" t="str">
        <f>IFERROR(VLOOKUP(B755 ,INVENTARIO!B808:C1000,2,0),"")</f>
        <v/>
      </c>
      <c r="D755" s="71">
        <f>SUMIF(ENTRADAS!B:B,B755,ENTRADAS!D:D)</f>
        <v>0</v>
      </c>
      <c r="E755" s="71">
        <f>SUMIF(SALIDAS!B:B,B755,SALIDAS!D:D)</f>
        <v>0</v>
      </c>
      <c r="F755" s="89">
        <f t="shared" si="1"/>
        <v>0</v>
      </c>
      <c r="G755" s="90"/>
      <c r="H755" s="90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</row>
    <row r="756">
      <c r="A756" s="79"/>
      <c r="B756" s="88"/>
      <c r="C756" s="71" t="str">
        <f>IFERROR(VLOOKUP(B756 ,INVENTARIO!B809:C1000,2,0),"")</f>
        <v/>
      </c>
      <c r="D756" s="71">
        <f>SUMIF(ENTRADAS!B:B,B756,ENTRADAS!D:D)</f>
        <v>0</v>
      </c>
      <c r="E756" s="71">
        <f>SUMIF(SALIDAS!B:B,B756,SALIDAS!D:D)</f>
        <v>0</v>
      </c>
      <c r="F756" s="89">
        <f t="shared" si="1"/>
        <v>0</v>
      </c>
      <c r="G756" s="90"/>
      <c r="H756" s="90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</row>
    <row r="757">
      <c r="A757" s="79"/>
      <c r="B757" s="88"/>
      <c r="C757" s="71" t="str">
        <f>IFERROR(VLOOKUP(B757 ,INVENTARIO!B810:C1000,2,0),"")</f>
        <v/>
      </c>
      <c r="D757" s="71">
        <f>SUMIF(ENTRADAS!B:B,B757,ENTRADAS!D:D)</f>
        <v>0</v>
      </c>
      <c r="E757" s="71">
        <f>SUMIF(SALIDAS!B:B,B757,SALIDAS!D:D)</f>
        <v>0</v>
      </c>
      <c r="F757" s="89">
        <f t="shared" si="1"/>
        <v>0</v>
      </c>
      <c r="G757" s="90"/>
      <c r="H757" s="90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</row>
    <row r="758">
      <c r="A758" s="79"/>
      <c r="B758" s="88"/>
      <c r="C758" s="71" t="str">
        <f>IFERROR(VLOOKUP(B758 ,INVENTARIO!B811:C1000,2,0),"")</f>
        <v/>
      </c>
      <c r="D758" s="71">
        <f>SUMIF(ENTRADAS!B:B,B758,ENTRADAS!D:D)</f>
        <v>0</v>
      </c>
      <c r="E758" s="71">
        <f>SUMIF(SALIDAS!B:B,B758,SALIDAS!D:D)</f>
        <v>0</v>
      </c>
      <c r="F758" s="89">
        <f t="shared" si="1"/>
        <v>0</v>
      </c>
      <c r="G758" s="90"/>
      <c r="H758" s="90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</row>
    <row r="759">
      <c r="A759" s="79"/>
      <c r="B759" s="88"/>
      <c r="C759" s="71" t="str">
        <f>IFERROR(VLOOKUP(B759 ,INVENTARIO!B812:C1000,2,0),"")</f>
        <v/>
      </c>
      <c r="D759" s="71">
        <f>SUMIF(ENTRADAS!B:B,B759,ENTRADAS!D:D)</f>
        <v>0</v>
      </c>
      <c r="E759" s="71">
        <f>SUMIF(SALIDAS!B:B,B759,SALIDAS!D:D)</f>
        <v>0</v>
      </c>
      <c r="F759" s="89">
        <f t="shared" si="1"/>
        <v>0</v>
      </c>
      <c r="G759" s="90"/>
      <c r="H759" s="90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</row>
    <row r="760">
      <c r="A760" s="79"/>
      <c r="B760" s="88"/>
      <c r="C760" s="71" t="str">
        <f>IFERROR(VLOOKUP(B760 ,INVENTARIO!B812:C1000,2,0),"")</f>
        <v/>
      </c>
      <c r="D760" s="71">
        <f>SUMIF(ENTRADAS!B:B,B760,ENTRADAS!D:D)</f>
        <v>0</v>
      </c>
      <c r="E760" s="71">
        <f>SUMIF(SALIDAS!B:B,B760,SALIDAS!D:D)</f>
        <v>0</v>
      </c>
      <c r="F760" s="89">
        <f t="shared" si="1"/>
        <v>0</v>
      </c>
      <c r="G760" s="90"/>
      <c r="H760" s="90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</row>
    <row r="761">
      <c r="A761" s="79"/>
      <c r="B761" s="88"/>
      <c r="C761" s="71" t="str">
        <f>IFERROR(VLOOKUP(B761 ,INVENTARIO!B813:C1000,2,0),"")</f>
        <v/>
      </c>
      <c r="D761" s="71">
        <f>SUMIF(ENTRADAS!B:B,B761,ENTRADAS!D:D)</f>
        <v>0</v>
      </c>
      <c r="E761" s="71">
        <f>SUMIF(SALIDAS!B:B,B761,SALIDAS!D:D)</f>
        <v>0</v>
      </c>
      <c r="F761" s="89">
        <f t="shared" si="1"/>
        <v>0</v>
      </c>
      <c r="G761" s="90"/>
      <c r="H761" s="90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</row>
    <row r="762">
      <c r="A762" s="79"/>
      <c r="B762" s="88"/>
      <c r="C762" s="71" t="str">
        <f>IFERROR(VLOOKUP(B762 ,INVENTARIO!B814:C1000,2,0),"")</f>
        <v/>
      </c>
      <c r="D762" s="71">
        <f>SUMIF(ENTRADAS!B:B,B762,ENTRADAS!D:D)</f>
        <v>0</v>
      </c>
      <c r="E762" s="71">
        <f>SUMIF(SALIDAS!B:B,B762,SALIDAS!D:D)</f>
        <v>0</v>
      </c>
      <c r="F762" s="89">
        <f t="shared" si="1"/>
        <v>0</v>
      </c>
      <c r="G762" s="90"/>
      <c r="H762" s="90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</row>
    <row r="763">
      <c r="A763" s="79"/>
      <c r="B763" s="88"/>
      <c r="C763" s="71" t="str">
        <f>IFERROR(VLOOKUP(B763 ,INVENTARIO!B815:C1000,2,0),"")</f>
        <v/>
      </c>
      <c r="D763" s="71">
        <f>SUMIF(ENTRADAS!B:B,B763,ENTRADAS!D:D)</f>
        <v>0</v>
      </c>
      <c r="E763" s="71">
        <f>SUMIF(SALIDAS!B:B,B763,SALIDAS!D:D)</f>
        <v>0</v>
      </c>
      <c r="F763" s="89">
        <f t="shared" si="1"/>
        <v>0</v>
      </c>
      <c r="G763" s="90"/>
      <c r="H763" s="90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</row>
    <row r="764">
      <c r="A764" s="79"/>
      <c r="B764" s="88"/>
      <c r="C764" s="71" t="str">
        <f>IFERROR(VLOOKUP(B764 ,INVENTARIO!B816:C1000,2,0),"")</f>
        <v/>
      </c>
      <c r="D764" s="71">
        <f>SUMIF(ENTRADAS!B:B,B764,ENTRADAS!D:D)</f>
        <v>0</v>
      </c>
      <c r="E764" s="71">
        <f>SUMIF(SALIDAS!B:B,B764,SALIDAS!D:D)</f>
        <v>0</v>
      </c>
      <c r="F764" s="89">
        <f t="shared" si="1"/>
        <v>0</v>
      </c>
      <c r="G764" s="90"/>
      <c r="H764" s="90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</row>
    <row r="765">
      <c r="A765" s="79"/>
      <c r="B765" s="88"/>
      <c r="C765" s="71" t="str">
        <f>IFERROR(VLOOKUP(B765 ,INVENTARIO!B817:C1000,2,0),"")</f>
        <v/>
      </c>
      <c r="D765" s="71">
        <f>SUMIF(ENTRADAS!B:B,B765,ENTRADAS!D:D)</f>
        <v>0</v>
      </c>
      <c r="E765" s="71">
        <f>SUMIF(SALIDAS!B:B,B765,SALIDAS!D:D)</f>
        <v>0</v>
      </c>
      <c r="F765" s="89">
        <f t="shared" si="1"/>
        <v>0</v>
      </c>
      <c r="G765" s="90"/>
      <c r="H765" s="90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</row>
    <row r="766">
      <c r="A766" s="79"/>
      <c r="B766" s="88"/>
      <c r="C766" s="71" t="str">
        <f>IFERROR(VLOOKUP(B766 ,INVENTARIO!B818:C1000,2,0),"")</f>
        <v/>
      </c>
      <c r="D766" s="71">
        <f>SUMIF(ENTRADAS!B:B,B766,ENTRADAS!D:D)</f>
        <v>0</v>
      </c>
      <c r="E766" s="71">
        <f>SUMIF(SALIDAS!B:B,B766,SALIDAS!D:D)</f>
        <v>0</v>
      </c>
      <c r="F766" s="89">
        <f t="shared" si="1"/>
        <v>0</v>
      </c>
      <c r="G766" s="90"/>
      <c r="H766" s="90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</row>
    <row r="767">
      <c r="A767" s="79"/>
      <c r="B767" s="88"/>
      <c r="C767" s="71" t="str">
        <f>IFERROR(VLOOKUP(B767 ,INVENTARIO!B819:C1000,2,0),"")</f>
        <v/>
      </c>
      <c r="D767" s="71">
        <f>SUMIF(ENTRADAS!B:B,B767,ENTRADAS!D:D)</f>
        <v>0</v>
      </c>
      <c r="E767" s="71">
        <f>SUMIF(SALIDAS!B:B,B767,SALIDAS!D:D)</f>
        <v>0</v>
      </c>
      <c r="F767" s="89">
        <f t="shared" si="1"/>
        <v>0</v>
      </c>
      <c r="G767" s="90"/>
      <c r="H767" s="90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</row>
    <row r="768">
      <c r="A768" s="79"/>
      <c r="B768" s="88"/>
      <c r="C768" s="71" t="str">
        <f>IFERROR(VLOOKUP(B768 ,INVENTARIO!B820:C1000,2,0),"")</f>
        <v/>
      </c>
      <c r="D768" s="71">
        <f>SUMIF(ENTRADAS!B:B,B768,ENTRADAS!D:D)</f>
        <v>0</v>
      </c>
      <c r="E768" s="71">
        <f>SUMIF(SALIDAS!B:B,B768,SALIDAS!D:D)</f>
        <v>0</v>
      </c>
      <c r="F768" s="89">
        <f t="shared" si="1"/>
        <v>0</v>
      </c>
      <c r="G768" s="90"/>
      <c r="H768" s="90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</row>
    <row r="769">
      <c r="A769" s="79"/>
      <c r="B769" s="88"/>
      <c r="C769" s="71" t="str">
        <f>IFERROR(VLOOKUP(B769 ,INVENTARIO!B821:C1000,2,0),"")</f>
        <v/>
      </c>
      <c r="D769" s="71">
        <f>SUMIF(ENTRADAS!B:B,B769,ENTRADAS!D:D)</f>
        <v>0</v>
      </c>
      <c r="E769" s="71">
        <f>SUMIF(SALIDAS!B:B,B769,SALIDAS!D:D)</f>
        <v>0</v>
      </c>
      <c r="F769" s="89">
        <f t="shared" si="1"/>
        <v>0</v>
      </c>
      <c r="G769" s="90"/>
      <c r="H769" s="90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>
      <c r="A770" s="79"/>
      <c r="B770" s="88"/>
      <c r="C770" s="71" t="str">
        <f>IFERROR(VLOOKUP(B770 ,INVENTARIO!B822:C1000,2,0),"")</f>
        <v/>
      </c>
      <c r="D770" s="71">
        <f>SUMIF(ENTRADAS!B:B,B770,ENTRADAS!D:D)</f>
        <v>0</v>
      </c>
      <c r="E770" s="71">
        <f>SUMIF(SALIDAS!B:B,B770,SALIDAS!D:D)</f>
        <v>0</v>
      </c>
      <c r="F770" s="89">
        <f t="shared" si="1"/>
        <v>0</v>
      </c>
      <c r="G770" s="90"/>
      <c r="H770" s="90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</row>
    <row r="771">
      <c r="A771" s="79"/>
      <c r="B771" s="88"/>
      <c r="C771" s="71" t="str">
        <f>IFERROR(VLOOKUP(B771 ,INVENTARIO!B823:C1000,2,0),"")</f>
        <v/>
      </c>
      <c r="D771" s="71">
        <f>SUMIF(ENTRADAS!B:B,B771,ENTRADAS!D:D)</f>
        <v>0</v>
      </c>
      <c r="E771" s="71">
        <f>SUMIF(SALIDAS!B:B,B771,SALIDAS!D:D)</f>
        <v>0</v>
      </c>
      <c r="F771" s="89">
        <f t="shared" si="1"/>
        <v>0</v>
      </c>
      <c r="G771" s="90"/>
      <c r="H771" s="90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</row>
    <row r="772">
      <c r="A772" s="79"/>
      <c r="B772" s="88"/>
      <c r="C772" s="71" t="str">
        <f>IFERROR(VLOOKUP(B772 ,INVENTARIO!B824:C1000,2,0),"")</f>
        <v/>
      </c>
      <c r="D772" s="71">
        <f>SUMIF(ENTRADAS!B:B,B772,ENTRADAS!D:D)</f>
        <v>0</v>
      </c>
      <c r="E772" s="71">
        <f>SUMIF(SALIDAS!B:B,B772,SALIDAS!D:D)</f>
        <v>0</v>
      </c>
      <c r="F772" s="89">
        <f t="shared" si="1"/>
        <v>0</v>
      </c>
      <c r="G772" s="90"/>
      <c r="H772" s="90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</row>
    <row r="773">
      <c r="A773" s="79"/>
      <c r="B773" s="88"/>
      <c r="C773" s="71" t="str">
        <f>IFERROR(VLOOKUP(B773 ,INVENTARIO!B825:C1000,2,0),"")</f>
        <v/>
      </c>
      <c r="D773" s="71">
        <f>SUMIF(ENTRADAS!B:B,B773,ENTRADAS!D:D)</f>
        <v>0</v>
      </c>
      <c r="E773" s="71">
        <f>SUMIF(SALIDAS!B:B,B773,SALIDAS!D:D)</f>
        <v>0</v>
      </c>
      <c r="F773" s="89">
        <f t="shared" si="1"/>
        <v>0</v>
      </c>
      <c r="G773" s="90"/>
      <c r="H773" s="90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</row>
    <row r="774">
      <c r="A774" s="79"/>
      <c r="B774" s="88"/>
      <c r="C774" s="71" t="str">
        <f>IFERROR(VLOOKUP(B774 ,INVENTARIO!B826:C1000,2,0),"")</f>
        <v/>
      </c>
      <c r="D774" s="71">
        <f>SUMIF(ENTRADAS!B:B,B774,ENTRADAS!D:D)</f>
        <v>0</v>
      </c>
      <c r="E774" s="71">
        <f>SUMIF(SALIDAS!B:B,B774,SALIDAS!D:D)</f>
        <v>0</v>
      </c>
      <c r="F774" s="89">
        <f t="shared" si="1"/>
        <v>0</v>
      </c>
      <c r="G774" s="90"/>
      <c r="H774" s="90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</row>
    <row r="775">
      <c r="A775" s="79"/>
      <c r="B775" s="88"/>
      <c r="C775" s="71" t="str">
        <f>IFERROR(VLOOKUP(B775 ,INVENTARIO!B827:C1000,2,0),"")</f>
        <v/>
      </c>
      <c r="D775" s="71">
        <f>SUMIF(ENTRADAS!B:B,B775,ENTRADAS!D:D)</f>
        <v>0</v>
      </c>
      <c r="E775" s="71">
        <f>SUMIF(SALIDAS!B:B,B775,SALIDAS!D:D)</f>
        <v>0</v>
      </c>
      <c r="F775" s="89">
        <f t="shared" si="1"/>
        <v>0</v>
      </c>
      <c r="G775" s="90"/>
      <c r="H775" s="90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</row>
    <row r="776">
      <c r="A776" s="79"/>
      <c r="B776" s="88"/>
      <c r="C776" s="71" t="str">
        <f>IFERROR(VLOOKUP(B776 ,INVENTARIO!B828:C1000,2,0),"")</f>
        <v/>
      </c>
      <c r="D776" s="71">
        <f>SUMIF(ENTRADAS!B:B,B776,ENTRADAS!D:D)</f>
        <v>0</v>
      </c>
      <c r="E776" s="71">
        <f>SUMIF(SALIDAS!B:B,B776,SALIDAS!D:D)</f>
        <v>0</v>
      </c>
      <c r="F776" s="89">
        <f t="shared" si="1"/>
        <v>0</v>
      </c>
      <c r="G776" s="90"/>
      <c r="H776" s="90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</row>
    <row r="777">
      <c r="A777" s="79"/>
      <c r="B777" s="88"/>
      <c r="C777" s="71" t="str">
        <f>IFERROR(VLOOKUP(B777 ,INVENTARIO!B829:C1000,2,0),"")</f>
        <v/>
      </c>
      <c r="D777" s="71">
        <f>SUMIF(ENTRADAS!B:B,B777,ENTRADAS!D:D)</f>
        <v>0</v>
      </c>
      <c r="E777" s="71">
        <f>SUMIF(SALIDAS!B:B,B777,SALIDAS!D:D)</f>
        <v>0</v>
      </c>
      <c r="F777" s="89">
        <f t="shared" si="1"/>
        <v>0</v>
      </c>
      <c r="G777" s="90"/>
      <c r="H777" s="90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</row>
    <row r="778">
      <c r="A778" s="79"/>
      <c r="B778" s="88"/>
      <c r="C778" s="71" t="str">
        <f>IFERROR(VLOOKUP(B778 ,INVENTARIO!B830:C1000,2,0),"")</f>
        <v/>
      </c>
      <c r="D778" s="71">
        <f>SUMIF(ENTRADAS!B:B,B778,ENTRADAS!D:D)</f>
        <v>0</v>
      </c>
      <c r="E778" s="71">
        <f>SUMIF(SALIDAS!B:B,B778,SALIDAS!D:D)</f>
        <v>0</v>
      </c>
      <c r="F778" s="89">
        <f t="shared" si="1"/>
        <v>0</v>
      </c>
      <c r="G778" s="90"/>
      <c r="H778" s="90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</row>
    <row r="779">
      <c r="A779" s="79"/>
      <c r="B779" s="88"/>
      <c r="C779" s="71" t="str">
        <f>IFERROR(VLOOKUP(B779 ,INVENTARIO!B831:C1000,2,0),"")</f>
        <v/>
      </c>
      <c r="D779" s="71">
        <f>SUMIF(ENTRADAS!B:B,B779,ENTRADAS!D:D)</f>
        <v>0</v>
      </c>
      <c r="E779" s="71">
        <f>SUMIF(SALIDAS!B:B,B779,SALIDAS!D:D)</f>
        <v>0</v>
      </c>
      <c r="F779" s="89">
        <f t="shared" si="1"/>
        <v>0</v>
      </c>
      <c r="G779" s="90"/>
      <c r="H779" s="90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</row>
    <row r="780">
      <c r="A780" s="79"/>
      <c r="B780" s="88"/>
      <c r="C780" s="71" t="str">
        <f>IFERROR(VLOOKUP(B780 ,INVENTARIO!B832:C1000,2,0),"")</f>
        <v/>
      </c>
      <c r="D780" s="71">
        <f>SUMIF(ENTRADAS!B:B,B780,ENTRADAS!D:D)</f>
        <v>0</v>
      </c>
      <c r="E780" s="71">
        <f>SUMIF(SALIDAS!B:B,B780,SALIDAS!D:D)</f>
        <v>0</v>
      </c>
      <c r="F780" s="89">
        <f t="shared" si="1"/>
        <v>0</v>
      </c>
      <c r="G780" s="90"/>
      <c r="H780" s="90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</row>
    <row r="781">
      <c r="A781" s="79"/>
      <c r="B781" s="88"/>
      <c r="C781" s="71" t="str">
        <f>IFERROR(VLOOKUP(B781 ,INVENTARIO!B833:C1000,2,0),"")</f>
        <v/>
      </c>
      <c r="D781" s="71">
        <f>SUMIF(ENTRADAS!B:B,B781,ENTRADAS!D:D)</f>
        <v>0</v>
      </c>
      <c r="E781" s="71">
        <f>SUMIF(SALIDAS!B:B,B781,SALIDAS!D:D)</f>
        <v>0</v>
      </c>
      <c r="F781" s="89">
        <f t="shared" si="1"/>
        <v>0</v>
      </c>
      <c r="G781" s="90"/>
      <c r="H781" s="90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</row>
    <row r="782">
      <c r="A782" s="79"/>
      <c r="B782" s="88"/>
      <c r="C782" s="71" t="str">
        <f>IFERROR(VLOOKUP(B782 ,INVENTARIO!B834:C1000,2,0),"")</f>
        <v/>
      </c>
      <c r="D782" s="71">
        <f>SUMIF(ENTRADAS!B:B,B782,ENTRADAS!D:D)</f>
        <v>0</v>
      </c>
      <c r="E782" s="71">
        <f>SUMIF(SALIDAS!B:B,B782,SALIDAS!D:D)</f>
        <v>0</v>
      </c>
      <c r="F782" s="89">
        <f t="shared" si="1"/>
        <v>0</v>
      </c>
      <c r="G782" s="90"/>
      <c r="H782" s="90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</row>
    <row r="783">
      <c r="A783" s="79"/>
      <c r="B783" s="88"/>
      <c r="C783" s="71" t="str">
        <f>IFERROR(VLOOKUP(B783 ,INVENTARIO!B835:C1000,2,0),"")</f>
        <v/>
      </c>
      <c r="D783" s="71">
        <f>SUMIF(ENTRADAS!B:B,B783,ENTRADAS!D:D)</f>
        <v>0</v>
      </c>
      <c r="E783" s="71">
        <f>SUMIF(SALIDAS!B:B,B783,SALIDAS!D:D)</f>
        <v>0</v>
      </c>
      <c r="F783" s="89">
        <f t="shared" si="1"/>
        <v>0</v>
      </c>
      <c r="G783" s="90"/>
      <c r="H783" s="90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</row>
    <row r="784">
      <c r="A784" s="79"/>
      <c r="B784" s="88"/>
      <c r="C784" s="71" t="str">
        <f>IFERROR(VLOOKUP(B784 ,INVENTARIO!B836:C1000,2,0),"")</f>
        <v/>
      </c>
      <c r="D784" s="71">
        <f>SUMIF(ENTRADAS!B:B,B784,ENTRADAS!D:D)</f>
        <v>0</v>
      </c>
      <c r="E784" s="71">
        <f>SUMIF(SALIDAS!B:B,B784,SALIDAS!D:D)</f>
        <v>0</v>
      </c>
      <c r="F784" s="89">
        <f t="shared" si="1"/>
        <v>0</v>
      </c>
      <c r="G784" s="90"/>
      <c r="H784" s="90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</row>
    <row r="785">
      <c r="A785" s="79"/>
      <c r="B785" s="88"/>
      <c r="C785" s="71" t="str">
        <f>IFERROR(VLOOKUP(B785 ,INVENTARIO!B837:C1000,2,0),"")</f>
        <v/>
      </c>
      <c r="D785" s="71">
        <f>SUMIF(ENTRADAS!B:B,B785,ENTRADAS!D:D)</f>
        <v>0</v>
      </c>
      <c r="E785" s="71">
        <f>SUMIF(SALIDAS!B:B,B785,SALIDAS!D:D)</f>
        <v>0</v>
      </c>
      <c r="F785" s="89">
        <f t="shared" si="1"/>
        <v>0</v>
      </c>
      <c r="G785" s="90"/>
      <c r="H785" s="90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</row>
    <row r="786">
      <c r="A786" s="79"/>
      <c r="B786" s="88"/>
      <c r="C786" s="71" t="str">
        <f>IFERROR(VLOOKUP(B786 ,INVENTARIO!B838:C1000,2,0),"")</f>
        <v/>
      </c>
      <c r="D786" s="71">
        <f>SUMIF(ENTRADAS!B:B,B786,ENTRADAS!D:D)</f>
        <v>0</v>
      </c>
      <c r="E786" s="71">
        <f>SUMIF(SALIDAS!B:B,B786,SALIDAS!D:D)</f>
        <v>0</v>
      </c>
      <c r="F786" s="89">
        <f t="shared" si="1"/>
        <v>0</v>
      </c>
      <c r="G786" s="90"/>
      <c r="H786" s="90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</row>
    <row r="787">
      <c r="A787" s="79"/>
      <c r="B787" s="88"/>
      <c r="C787" s="71" t="str">
        <f>IFERROR(VLOOKUP(B787 ,INVENTARIO!B840:C1000,2,0),"")</f>
        <v/>
      </c>
      <c r="D787" s="71">
        <f>SUMIF(ENTRADAS!B:B,B787,ENTRADAS!D:D)</f>
        <v>0</v>
      </c>
      <c r="E787" s="71">
        <f>SUMIF(SALIDAS!B:B,B787,SALIDAS!D:D)</f>
        <v>0</v>
      </c>
      <c r="F787" s="89">
        <f t="shared" si="1"/>
        <v>0</v>
      </c>
      <c r="G787" s="90"/>
      <c r="H787" s="90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</row>
    <row r="788">
      <c r="A788" s="79"/>
      <c r="B788" s="88"/>
      <c r="C788" s="71" t="str">
        <f>IFERROR(VLOOKUP(B788 ,INVENTARIO!B841:C1000,2,0),"")</f>
        <v/>
      </c>
      <c r="D788" s="71">
        <f>SUMIF(ENTRADAS!B:B,B788,ENTRADAS!D:D)</f>
        <v>0</v>
      </c>
      <c r="E788" s="71">
        <f>SUMIF(SALIDAS!B:B,B788,SALIDAS!D:D)</f>
        <v>0</v>
      </c>
      <c r="F788" s="89">
        <f t="shared" si="1"/>
        <v>0</v>
      </c>
      <c r="G788" s="90"/>
      <c r="H788" s="90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</row>
    <row r="789">
      <c r="A789" s="79"/>
      <c r="B789" s="88"/>
      <c r="C789" s="71" t="str">
        <f>IFERROR(VLOOKUP(B789 ,INVENTARIO!B843:C1000,2,0),"")</f>
        <v/>
      </c>
      <c r="D789" s="71">
        <f>SUMIF(ENTRADAS!B:B,B789,ENTRADAS!D:D)</f>
        <v>0</v>
      </c>
      <c r="E789" s="71">
        <f>SUMIF(SALIDAS!B:B,B789,SALIDAS!D:D)</f>
        <v>0</v>
      </c>
      <c r="F789" s="89">
        <f t="shared" si="1"/>
        <v>0</v>
      </c>
      <c r="G789" s="90"/>
      <c r="H789" s="90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</row>
    <row r="790">
      <c r="A790" s="79"/>
      <c r="B790" s="88"/>
      <c r="C790" s="71" t="str">
        <f>IFERROR(VLOOKUP(B790 ,INVENTARIO!B844:C1000,2,0),"")</f>
        <v/>
      </c>
      <c r="D790" s="71">
        <f>SUMIF(ENTRADAS!B:B,B790,ENTRADAS!D:D)</f>
        <v>0</v>
      </c>
      <c r="E790" s="71">
        <f>SUMIF(SALIDAS!B:B,B790,SALIDAS!D:D)</f>
        <v>0</v>
      </c>
      <c r="F790" s="89">
        <f t="shared" si="1"/>
        <v>0</v>
      </c>
      <c r="G790" s="90"/>
      <c r="H790" s="90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</row>
    <row r="791">
      <c r="A791" s="79"/>
      <c r="B791" s="88"/>
      <c r="C791" s="71" t="str">
        <f>IFERROR(VLOOKUP(B791 ,INVENTARIO!B845:C1000,2,0),"")</f>
        <v/>
      </c>
      <c r="D791" s="71">
        <f>SUMIF(ENTRADAS!B:B,B791,ENTRADAS!D:D)</f>
        <v>0</v>
      </c>
      <c r="E791" s="71">
        <f>SUMIF(SALIDAS!B:B,B791,SALIDAS!D:D)</f>
        <v>0</v>
      </c>
      <c r="F791" s="89">
        <f t="shared" si="1"/>
        <v>0</v>
      </c>
      <c r="G791" s="90"/>
      <c r="H791" s="90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</row>
    <row r="792">
      <c r="A792" s="79"/>
      <c r="B792" s="88"/>
      <c r="C792" s="71" t="str">
        <f>IFERROR(VLOOKUP(B792 ,INVENTARIO!B847:C1000,2,0),"")</f>
        <v/>
      </c>
      <c r="D792" s="71">
        <f>SUMIF(ENTRADAS!B:B,B792,ENTRADAS!D:D)</f>
        <v>0</v>
      </c>
      <c r="E792" s="71">
        <f>SUMIF(SALIDAS!B:B,B792,SALIDAS!D:D)</f>
        <v>0</v>
      </c>
      <c r="F792" s="89">
        <f t="shared" si="1"/>
        <v>0</v>
      </c>
      <c r="G792" s="90"/>
      <c r="H792" s="90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</row>
    <row r="793">
      <c r="A793" s="79"/>
      <c r="B793" s="88"/>
      <c r="C793" s="71" t="str">
        <f>IFERROR(VLOOKUP(B793 ,INVENTARIO!B848:C1000,2,0),"")</f>
        <v/>
      </c>
      <c r="D793" s="71">
        <f>SUMIF(ENTRADAS!B:B,B793,ENTRADAS!D:D)</f>
        <v>0</v>
      </c>
      <c r="E793" s="71">
        <f>SUMIF(SALIDAS!B:B,B793,SALIDAS!D:D)</f>
        <v>0</v>
      </c>
      <c r="F793" s="89">
        <f t="shared" si="1"/>
        <v>0</v>
      </c>
      <c r="G793" s="90"/>
      <c r="H793" s="90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</row>
    <row r="794">
      <c r="A794" s="79"/>
      <c r="B794" s="88"/>
      <c r="C794" s="71" t="str">
        <f>IFERROR(VLOOKUP(B794 ,INVENTARIO!B849:C1000,2,0),"")</f>
        <v/>
      </c>
      <c r="D794" s="71">
        <f>SUMIF(ENTRADAS!B:B,B794,ENTRADAS!D:D)</f>
        <v>0</v>
      </c>
      <c r="E794" s="71">
        <f>SUMIF(SALIDAS!B:B,B794,SALIDAS!D:D)</f>
        <v>0</v>
      </c>
      <c r="F794" s="89">
        <f t="shared" si="1"/>
        <v>0</v>
      </c>
      <c r="G794" s="90"/>
      <c r="H794" s="90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</row>
    <row r="795">
      <c r="A795" s="79"/>
      <c r="B795" s="88"/>
      <c r="C795" s="71" t="str">
        <f>IFERROR(VLOOKUP(B795 ,INVENTARIO!B850:C1000,2,0),"")</f>
        <v/>
      </c>
      <c r="D795" s="71">
        <f>SUMIF(ENTRADAS!B:B,B795,ENTRADAS!D:D)</f>
        <v>0</v>
      </c>
      <c r="E795" s="71">
        <f>SUMIF(SALIDAS!B:B,B795,SALIDAS!D:D)</f>
        <v>0</v>
      </c>
      <c r="F795" s="89">
        <f t="shared" si="1"/>
        <v>0</v>
      </c>
      <c r="G795" s="90"/>
      <c r="H795" s="90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</row>
    <row r="796">
      <c r="A796" s="79"/>
      <c r="B796" s="88"/>
      <c r="C796" s="71" t="str">
        <f>IFERROR(VLOOKUP(B796 ,INVENTARIO!B852:C1000,2,0),"")</f>
        <v/>
      </c>
      <c r="D796" s="71">
        <f>SUMIF(ENTRADAS!B:B,B796,ENTRADAS!D:D)</f>
        <v>0</v>
      </c>
      <c r="E796" s="71">
        <f>SUMIF(SALIDAS!B:B,B796,SALIDAS!D:D)</f>
        <v>0</v>
      </c>
      <c r="F796" s="89">
        <f t="shared" si="1"/>
        <v>0</v>
      </c>
      <c r="G796" s="90"/>
      <c r="H796" s="90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</row>
    <row r="797">
      <c r="A797" s="79"/>
      <c r="B797" s="88"/>
      <c r="C797" s="71" t="str">
        <f>IFERROR(VLOOKUP(B797 ,INVENTARIO!B853:C1000,2,0),"")</f>
        <v/>
      </c>
      <c r="D797" s="71">
        <f>SUMIF(ENTRADAS!B:B,B797,ENTRADAS!D:D)</f>
        <v>0</v>
      </c>
      <c r="E797" s="71">
        <f>SUMIF(SALIDAS!B:B,B797,SALIDAS!D:D)</f>
        <v>0</v>
      </c>
      <c r="F797" s="89">
        <f t="shared" si="1"/>
        <v>0</v>
      </c>
      <c r="G797" s="90"/>
      <c r="H797" s="90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</row>
    <row r="798">
      <c r="A798" s="79"/>
      <c r="B798" s="88"/>
      <c r="C798" s="71" t="str">
        <f>IFERROR(VLOOKUP(B798 ,INVENTARIO!B854:C1000,2,0),"")</f>
        <v/>
      </c>
      <c r="D798" s="71">
        <f>SUMIF(ENTRADAS!B:B,B798,ENTRADAS!D:D)</f>
        <v>0</v>
      </c>
      <c r="E798" s="71">
        <f>SUMIF(SALIDAS!B:B,B798,SALIDAS!D:D)</f>
        <v>0</v>
      </c>
      <c r="F798" s="89">
        <f t="shared" si="1"/>
        <v>0</v>
      </c>
      <c r="G798" s="90"/>
      <c r="H798" s="90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</row>
    <row r="799">
      <c r="A799" s="79"/>
      <c r="B799" s="88"/>
      <c r="C799" s="71" t="str">
        <f>IFERROR(VLOOKUP(B799 ,INVENTARIO!B855:C1000,2,0),"")</f>
        <v/>
      </c>
      <c r="D799" s="71">
        <f>SUMIF(ENTRADAS!B:B,B799,ENTRADAS!D:D)</f>
        <v>0</v>
      </c>
      <c r="E799" s="71">
        <f>SUMIF(SALIDAS!B:B,B799,SALIDAS!D:D)</f>
        <v>0</v>
      </c>
      <c r="F799" s="89">
        <f t="shared" si="1"/>
        <v>0</v>
      </c>
      <c r="G799" s="90"/>
      <c r="H799" s="90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</row>
    <row r="800">
      <c r="A800" s="79"/>
      <c r="B800" s="88"/>
      <c r="C800" s="71" t="str">
        <f>IFERROR(VLOOKUP(B800 ,INVENTARIO!B856:C1000,2,0),"")</f>
        <v/>
      </c>
      <c r="D800" s="71">
        <f>SUMIF(ENTRADAS!B:B,B800,ENTRADAS!D:D)</f>
        <v>0</v>
      </c>
      <c r="E800" s="71">
        <f>SUMIF(SALIDAS!B:B,B800,SALIDAS!D:D)</f>
        <v>0</v>
      </c>
      <c r="F800" s="89">
        <f t="shared" si="1"/>
        <v>0</v>
      </c>
      <c r="G800" s="90"/>
      <c r="H800" s="90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</row>
    <row r="801">
      <c r="A801" s="79"/>
      <c r="B801" s="88"/>
      <c r="C801" s="71" t="str">
        <f>IFERROR(VLOOKUP(B801 ,INVENTARIO!B857:C1000,2,0),"")</f>
        <v/>
      </c>
      <c r="D801" s="71">
        <f>SUMIF(ENTRADAS!B:B,B801,ENTRADAS!D:D)</f>
        <v>0</v>
      </c>
      <c r="E801" s="71">
        <f>SUMIF(SALIDAS!B:B,B801,SALIDAS!D:D)</f>
        <v>0</v>
      </c>
      <c r="F801" s="89">
        <f t="shared" si="1"/>
        <v>0</v>
      </c>
      <c r="G801" s="90"/>
      <c r="H801" s="90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</row>
    <row r="802">
      <c r="A802" s="79"/>
      <c r="B802" s="88"/>
      <c r="C802" s="71" t="str">
        <f>IFERROR(VLOOKUP(B802 ,INVENTARIO!B858:C1000,2,0),"")</f>
        <v/>
      </c>
      <c r="D802" s="71">
        <f>SUMIF(ENTRADAS!B:B,B802,ENTRADAS!D:D)</f>
        <v>0</v>
      </c>
      <c r="E802" s="71">
        <f>SUMIF(SALIDAS!B:B,B802,SALIDAS!D:D)</f>
        <v>0</v>
      </c>
      <c r="F802" s="89">
        <f t="shared" si="1"/>
        <v>0</v>
      </c>
      <c r="G802" s="90"/>
      <c r="H802" s="90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</row>
    <row r="803">
      <c r="A803" s="79"/>
      <c r="B803" s="88"/>
      <c r="C803" s="71" t="str">
        <f>IFERROR(VLOOKUP(B803 ,INVENTARIO!B859:C1000,2,0),"")</f>
        <v/>
      </c>
      <c r="D803" s="71">
        <f>SUMIF(ENTRADAS!B:B,B803,ENTRADAS!D:D)</f>
        <v>0</v>
      </c>
      <c r="E803" s="71">
        <f>SUMIF(SALIDAS!B:B,B803,SALIDAS!D:D)</f>
        <v>0</v>
      </c>
      <c r="F803" s="89">
        <f t="shared" si="1"/>
        <v>0</v>
      </c>
      <c r="G803" s="90"/>
      <c r="H803" s="90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</row>
    <row r="804">
      <c r="A804" s="79"/>
      <c r="B804" s="88"/>
      <c r="C804" s="71" t="str">
        <f>IFERROR(VLOOKUP(B804 ,INVENTARIO!B860:C1000,2,0),"")</f>
        <v/>
      </c>
      <c r="D804" s="71">
        <f>SUMIF(ENTRADAS!B:B,B804,ENTRADAS!D:D)</f>
        <v>0</v>
      </c>
      <c r="E804" s="71">
        <f>SUMIF(SALIDAS!B:B,B804,SALIDAS!D:D)</f>
        <v>0</v>
      </c>
      <c r="F804" s="89">
        <f t="shared" si="1"/>
        <v>0</v>
      </c>
      <c r="G804" s="90"/>
      <c r="H804" s="90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</row>
    <row r="805">
      <c r="A805" s="79"/>
      <c r="B805" s="88"/>
      <c r="C805" s="71" t="str">
        <f>IFERROR(VLOOKUP(B805 ,INVENTARIO!B861:C1000,2,0),"")</f>
        <v/>
      </c>
      <c r="D805" s="71">
        <f>SUMIF(ENTRADAS!B:B,B805,ENTRADAS!D:D)</f>
        <v>0</v>
      </c>
      <c r="E805" s="71">
        <f>SUMIF(SALIDAS!B:B,B805,SALIDAS!D:D)</f>
        <v>0</v>
      </c>
      <c r="F805" s="89">
        <f t="shared" si="1"/>
        <v>0</v>
      </c>
      <c r="G805" s="90"/>
      <c r="H805" s="90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</row>
    <row r="806">
      <c r="A806" s="79"/>
      <c r="B806" s="88"/>
      <c r="C806" s="71" t="str">
        <f>IFERROR(VLOOKUP(B806 ,INVENTARIO!B862:C1000,2,0),"")</f>
        <v/>
      </c>
      <c r="D806" s="71">
        <f>SUMIF(ENTRADAS!B:B,B806,ENTRADAS!D:D)</f>
        <v>0</v>
      </c>
      <c r="E806" s="71">
        <f>SUMIF(SALIDAS!B:B,B806,SALIDAS!D:D)</f>
        <v>0</v>
      </c>
      <c r="F806" s="89">
        <f t="shared" si="1"/>
        <v>0</v>
      </c>
      <c r="G806" s="90"/>
      <c r="H806" s="90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</row>
    <row r="807">
      <c r="A807" s="79"/>
      <c r="B807" s="88"/>
      <c r="C807" s="71" t="str">
        <f>IFERROR(VLOOKUP(B807 ,INVENTARIO!B863:C1000,2,0),"")</f>
        <v/>
      </c>
      <c r="D807" s="71">
        <f>SUMIF(ENTRADAS!B:B,B807,ENTRADAS!D:D)</f>
        <v>0</v>
      </c>
      <c r="E807" s="71">
        <f>SUMIF(SALIDAS!B:B,B807,SALIDAS!D:D)</f>
        <v>0</v>
      </c>
      <c r="F807" s="89">
        <f t="shared" si="1"/>
        <v>0</v>
      </c>
      <c r="G807" s="90"/>
      <c r="H807" s="90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</row>
    <row r="808">
      <c r="A808" s="79"/>
      <c r="B808" s="88"/>
      <c r="C808" s="71" t="str">
        <f>IFERROR(VLOOKUP(B808 ,INVENTARIO!B864:C1000,2,0),"")</f>
        <v/>
      </c>
      <c r="D808" s="71">
        <f>SUMIF(ENTRADAS!B:B,B808,ENTRADAS!D:D)</f>
        <v>0</v>
      </c>
      <c r="E808" s="71">
        <f>SUMIF(SALIDAS!B:B,B808,SALIDAS!D:D)</f>
        <v>0</v>
      </c>
      <c r="F808" s="89">
        <f t="shared" si="1"/>
        <v>0</v>
      </c>
      <c r="G808" s="90"/>
      <c r="H808" s="90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</row>
    <row r="809">
      <c r="A809" s="79"/>
      <c r="B809" s="88"/>
      <c r="C809" s="71" t="str">
        <f>IFERROR(VLOOKUP(B809 ,INVENTARIO!B865:C1000,2,0),"")</f>
        <v/>
      </c>
      <c r="D809" s="71">
        <f>SUMIF(ENTRADAS!B:B,B809,ENTRADAS!D:D)</f>
        <v>0</v>
      </c>
      <c r="E809" s="71">
        <f>SUMIF(SALIDAS!B:B,B809,SALIDAS!D:D)</f>
        <v>0</v>
      </c>
      <c r="F809" s="89">
        <f t="shared" si="1"/>
        <v>0</v>
      </c>
      <c r="G809" s="90"/>
      <c r="H809" s="90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</row>
    <row r="810">
      <c r="A810" s="79"/>
      <c r="B810" s="88"/>
      <c r="C810" s="71" t="str">
        <f>IFERROR(VLOOKUP(B810 ,INVENTARIO!B866:C1000,2,0),"")</f>
        <v/>
      </c>
      <c r="D810" s="71">
        <f>SUMIF(ENTRADAS!B:B,B810,ENTRADAS!D:D)</f>
        <v>0</v>
      </c>
      <c r="E810" s="71">
        <f>SUMIF(SALIDAS!B:B,B810,SALIDAS!D:D)</f>
        <v>0</v>
      </c>
      <c r="F810" s="89">
        <f t="shared" si="1"/>
        <v>0</v>
      </c>
      <c r="G810" s="90"/>
      <c r="H810" s="90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</row>
    <row r="811">
      <c r="A811" s="79"/>
      <c r="B811" s="88"/>
      <c r="C811" s="71" t="str">
        <f>IFERROR(VLOOKUP(B811 ,INVENTARIO!B867:C1000,2,0),"")</f>
        <v/>
      </c>
      <c r="D811" s="71">
        <f>SUMIF(ENTRADAS!B:B,B811,ENTRADAS!D:D)</f>
        <v>0</v>
      </c>
      <c r="E811" s="71">
        <f>SUMIF(SALIDAS!B:B,B811,SALIDAS!D:D)</f>
        <v>0</v>
      </c>
      <c r="F811" s="89">
        <f t="shared" si="1"/>
        <v>0</v>
      </c>
      <c r="G811" s="90"/>
      <c r="H811" s="90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</row>
    <row r="812">
      <c r="A812" s="79"/>
      <c r="B812" s="88"/>
      <c r="C812" s="71" t="str">
        <f>IFERROR(VLOOKUP(B812 ,INVENTARIO!B868:C1000,2,0),"")</f>
        <v/>
      </c>
      <c r="D812" s="71">
        <f>SUMIF(ENTRADAS!B:B,B812,ENTRADAS!D:D)</f>
        <v>0</v>
      </c>
      <c r="E812" s="71">
        <f>SUMIF(SALIDAS!B:B,B812,SALIDAS!D:D)</f>
        <v>0</v>
      </c>
      <c r="F812" s="89">
        <f t="shared" si="1"/>
        <v>0</v>
      </c>
      <c r="G812" s="90"/>
      <c r="H812" s="90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</row>
    <row r="813">
      <c r="A813" s="79"/>
      <c r="B813" s="88"/>
      <c r="C813" s="71" t="str">
        <f>IFERROR(VLOOKUP(B813 ,INVENTARIO!B869:C1000,2,0),"")</f>
        <v/>
      </c>
      <c r="D813" s="71">
        <f>SUMIF(ENTRADAS!B:B,B813,ENTRADAS!D:D)</f>
        <v>0</v>
      </c>
      <c r="E813" s="71">
        <f>SUMIF(SALIDAS!B:B,B813,SALIDAS!D:D)</f>
        <v>0</v>
      </c>
      <c r="F813" s="89">
        <f t="shared" si="1"/>
        <v>0</v>
      </c>
      <c r="G813" s="90"/>
      <c r="H813" s="90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</row>
    <row r="814">
      <c r="A814" s="79"/>
      <c r="B814" s="88"/>
      <c r="C814" s="71" t="str">
        <f>IFERROR(VLOOKUP(B814 ,INVENTARIO!B870:C1000,2,0),"")</f>
        <v/>
      </c>
      <c r="D814" s="71">
        <f>SUMIF(ENTRADAS!B:B,B814,ENTRADAS!D:D)</f>
        <v>0</v>
      </c>
      <c r="E814" s="71">
        <f>SUMIF(SALIDAS!B:B,B814,SALIDAS!D:D)</f>
        <v>0</v>
      </c>
      <c r="F814" s="89">
        <f t="shared" si="1"/>
        <v>0</v>
      </c>
      <c r="G814" s="90"/>
      <c r="H814" s="90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</row>
    <row r="815">
      <c r="A815" s="79"/>
      <c r="B815" s="88"/>
      <c r="C815" s="71" t="str">
        <f>IFERROR(VLOOKUP(B815 ,INVENTARIO!B871:C1000,2,0),"")</f>
        <v/>
      </c>
      <c r="D815" s="71">
        <f>SUMIF(ENTRADAS!B:B,B815,ENTRADAS!D:D)</f>
        <v>0</v>
      </c>
      <c r="E815" s="71">
        <f>SUMIF(SALIDAS!B:B,B815,SALIDAS!D:D)</f>
        <v>0</v>
      </c>
      <c r="F815" s="89">
        <f t="shared" si="1"/>
        <v>0</v>
      </c>
      <c r="G815" s="90"/>
      <c r="H815" s="90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</row>
    <row r="816">
      <c r="A816" s="79"/>
      <c r="B816" s="88"/>
      <c r="C816" s="71" t="str">
        <f>IFERROR(VLOOKUP(B816 ,INVENTARIO!B872:C1000,2,0),"")</f>
        <v/>
      </c>
      <c r="D816" s="71">
        <f>SUMIF(ENTRADAS!B:B,B816,ENTRADAS!D:D)</f>
        <v>0</v>
      </c>
      <c r="E816" s="71">
        <f>SUMIF(SALIDAS!B:B,B816,SALIDAS!D:D)</f>
        <v>0</v>
      </c>
      <c r="F816" s="89">
        <f t="shared" si="1"/>
        <v>0</v>
      </c>
      <c r="G816" s="90"/>
      <c r="H816" s="90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</row>
    <row r="817">
      <c r="A817" s="79"/>
      <c r="B817" s="88"/>
      <c r="C817" s="71" t="str">
        <f>IFERROR(VLOOKUP(B817 ,INVENTARIO!B873:C1000,2,0),"")</f>
        <v/>
      </c>
      <c r="D817" s="71">
        <f>SUMIF(ENTRADAS!B:B,B817,ENTRADAS!D:D)</f>
        <v>0</v>
      </c>
      <c r="E817" s="71">
        <f>SUMIF(SALIDAS!B:B,B817,SALIDAS!D:D)</f>
        <v>0</v>
      </c>
      <c r="F817" s="89">
        <f t="shared" si="1"/>
        <v>0</v>
      </c>
      <c r="G817" s="90"/>
      <c r="H817" s="90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</row>
    <row r="818">
      <c r="A818" s="79"/>
      <c r="B818" s="88"/>
      <c r="C818" s="71" t="str">
        <f>IFERROR(VLOOKUP(B818 ,INVENTARIO!B878:C1000,2,0),"")</f>
        <v/>
      </c>
      <c r="D818" s="71">
        <f>SUMIF(ENTRADAS!B:B,B818,ENTRADAS!D:D)</f>
        <v>0</v>
      </c>
      <c r="E818" s="71">
        <f>SUMIF(SALIDAS!B:B,B818,SALIDAS!D:D)</f>
        <v>0</v>
      </c>
      <c r="F818" s="89">
        <f t="shared" si="1"/>
        <v>0</v>
      </c>
      <c r="G818" s="90"/>
      <c r="H818" s="90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</row>
    <row r="819">
      <c r="A819" s="79"/>
      <c r="B819" s="88"/>
      <c r="C819" s="71" t="str">
        <f>IFERROR(VLOOKUP(B819 ,INVENTARIO!B879:C1000,2,0),"")</f>
        <v/>
      </c>
      <c r="D819" s="71">
        <f>SUMIF(ENTRADAS!B:B,B819,ENTRADAS!D:D)</f>
        <v>0</v>
      </c>
      <c r="E819" s="71">
        <f>SUMIF(SALIDAS!B:B,B819,SALIDAS!D:D)</f>
        <v>0</v>
      </c>
      <c r="F819" s="89">
        <f t="shared" si="1"/>
        <v>0</v>
      </c>
      <c r="G819" s="90"/>
      <c r="H819" s="90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</row>
    <row r="820">
      <c r="A820" s="79"/>
      <c r="B820" s="88"/>
      <c r="C820" s="71" t="str">
        <f>IFERROR(VLOOKUP(B820 ,INVENTARIO!B880:C1000,2,0),"")</f>
        <v/>
      </c>
      <c r="D820" s="71">
        <f>SUMIF(ENTRADAS!B:B,B820,ENTRADAS!D:D)</f>
        <v>0</v>
      </c>
      <c r="E820" s="71">
        <f>SUMIF(SALIDAS!B:B,B820,SALIDAS!D:D)</f>
        <v>0</v>
      </c>
      <c r="F820" s="89">
        <f t="shared" si="1"/>
        <v>0</v>
      </c>
      <c r="G820" s="90"/>
      <c r="H820" s="90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</row>
    <row r="821">
      <c r="A821" s="79"/>
      <c r="B821" s="88"/>
      <c r="C821" s="71" t="str">
        <f>IFERROR(VLOOKUP(B821 ,INVENTARIO!B881:C1000,2,0),"")</f>
        <v/>
      </c>
      <c r="D821" s="71">
        <f>SUMIF(ENTRADAS!B:B,B821,ENTRADAS!D:D)</f>
        <v>0</v>
      </c>
      <c r="E821" s="71">
        <f>SUMIF(SALIDAS!B:B,B821,SALIDAS!D:D)</f>
        <v>0</v>
      </c>
      <c r="F821" s="89">
        <f t="shared" si="1"/>
        <v>0</v>
      </c>
      <c r="G821" s="90"/>
      <c r="H821" s="90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</row>
    <row r="822">
      <c r="A822" s="79"/>
      <c r="B822" s="88"/>
      <c r="C822" s="71" t="str">
        <f>IFERROR(VLOOKUP(B822 ,INVENTARIO!B882:C1000,2,0),"")</f>
        <v/>
      </c>
      <c r="D822" s="71">
        <f>SUMIF(ENTRADAS!B:B,B822,ENTRADAS!D:D)</f>
        <v>0</v>
      </c>
      <c r="E822" s="71">
        <f>SUMIF(SALIDAS!B:B,B822,SALIDAS!D:D)</f>
        <v>0</v>
      </c>
      <c r="F822" s="89">
        <f t="shared" si="1"/>
        <v>0</v>
      </c>
      <c r="G822" s="90"/>
      <c r="H822" s="90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</row>
    <row r="823">
      <c r="A823" s="79"/>
      <c r="B823" s="88"/>
      <c r="C823" s="71" t="str">
        <f>IFERROR(VLOOKUP(B823 ,INVENTARIO!B883:C1000,2,0),"")</f>
        <v/>
      </c>
      <c r="D823" s="71">
        <f>SUMIF(ENTRADAS!B:B,B823,ENTRADAS!D:D)</f>
        <v>0</v>
      </c>
      <c r="E823" s="71">
        <f>SUMIF(SALIDAS!B:B,B823,SALIDAS!D:D)</f>
        <v>0</v>
      </c>
      <c r="F823" s="89">
        <f t="shared" si="1"/>
        <v>0</v>
      </c>
      <c r="G823" s="90"/>
      <c r="H823" s="90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</row>
    <row r="824">
      <c r="A824" s="79"/>
      <c r="B824" s="88"/>
      <c r="C824" s="71" t="str">
        <f>IFERROR(VLOOKUP(B824 ,INVENTARIO!B884:C1000,2,0),"")</f>
        <v/>
      </c>
      <c r="D824" s="71">
        <f>SUMIF(ENTRADAS!B:B,B824,ENTRADAS!D:D)</f>
        <v>0</v>
      </c>
      <c r="E824" s="71">
        <f>SUMIF(SALIDAS!B:B,B824,SALIDAS!D:D)</f>
        <v>0</v>
      </c>
      <c r="F824" s="89">
        <f t="shared" si="1"/>
        <v>0</v>
      </c>
      <c r="G824" s="90"/>
      <c r="H824" s="90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</row>
    <row r="825">
      <c r="A825" s="79"/>
      <c r="B825" s="88"/>
      <c r="C825" s="71" t="str">
        <f>IFERROR(VLOOKUP(B825 ,INVENTARIO!B885:C1000,2,0),"")</f>
        <v/>
      </c>
      <c r="D825" s="71">
        <f>SUMIF(ENTRADAS!B:B,B825,ENTRADAS!D:D)</f>
        <v>0</v>
      </c>
      <c r="E825" s="71">
        <f>SUMIF(SALIDAS!B:B,B825,SALIDAS!D:D)</f>
        <v>0</v>
      </c>
      <c r="F825" s="89">
        <f t="shared" si="1"/>
        <v>0</v>
      </c>
      <c r="G825" s="90"/>
      <c r="H825" s="90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</row>
    <row r="826">
      <c r="A826" s="79"/>
      <c r="B826" s="88"/>
      <c r="C826" s="71" t="str">
        <f>IFERROR(VLOOKUP(B826 ,INVENTARIO!B886:C1000,2,0),"")</f>
        <v/>
      </c>
      <c r="D826" s="71">
        <f>SUMIF(ENTRADAS!B:B,B826,ENTRADAS!D:D)</f>
        <v>0</v>
      </c>
      <c r="E826" s="71">
        <f>SUMIF(SALIDAS!B:B,B826,SALIDAS!D:D)</f>
        <v>0</v>
      </c>
      <c r="F826" s="89">
        <f t="shared" si="1"/>
        <v>0</v>
      </c>
      <c r="G826" s="90"/>
      <c r="H826" s="90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</row>
    <row r="827">
      <c r="A827" s="79"/>
      <c r="B827" s="88"/>
      <c r="C827" s="71" t="str">
        <f>IFERROR(VLOOKUP(B827 ,INVENTARIO!B887:C1000,2,0),"")</f>
        <v/>
      </c>
      <c r="D827" s="71">
        <f>SUMIF(ENTRADAS!B:B,B827,ENTRADAS!D:D)</f>
        <v>0</v>
      </c>
      <c r="E827" s="71">
        <f>SUMIF(SALIDAS!B:B,B827,SALIDAS!D:D)</f>
        <v>0</v>
      </c>
      <c r="F827" s="89">
        <f t="shared" si="1"/>
        <v>0</v>
      </c>
      <c r="G827" s="90"/>
      <c r="H827" s="90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</row>
    <row r="828">
      <c r="A828" s="79"/>
      <c r="B828" s="88"/>
      <c r="C828" s="71" t="str">
        <f>IFERROR(VLOOKUP(B828 ,INVENTARIO!B888:C1000,2,0),"")</f>
        <v/>
      </c>
      <c r="D828" s="71">
        <f>SUMIF(ENTRADAS!B:B,B828,ENTRADAS!D:D)</f>
        <v>0</v>
      </c>
      <c r="E828" s="71">
        <f>SUMIF(SALIDAS!B:B,B828,SALIDAS!D:D)</f>
        <v>0</v>
      </c>
      <c r="F828" s="89">
        <f t="shared" si="1"/>
        <v>0</v>
      </c>
      <c r="G828" s="90"/>
      <c r="H828" s="90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</row>
    <row r="829">
      <c r="A829" s="79"/>
      <c r="B829" s="88"/>
      <c r="C829" s="71" t="str">
        <f>IFERROR(VLOOKUP(B829 ,INVENTARIO!B889:C1000,2,0),"")</f>
        <v/>
      </c>
      <c r="D829" s="71">
        <f>SUMIF(ENTRADAS!B:B,B829,ENTRADAS!D:D)</f>
        <v>0</v>
      </c>
      <c r="E829" s="71">
        <f>SUMIF(SALIDAS!B:B,B829,SALIDAS!D:D)</f>
        <v>0</v>
      </c>
      <c r="F829" s="89">
        <f t="shared" si="1"/>
        <v>0</v>
      </c>
      <c r="G829" s="90"/>
      <c r="H829" s="90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</row>
    <row r="830">
      <c r="A830" s="79"/>
      <c r="B830" s="88"/>
      <c r="C830" s="71" t="str">
        <f>IFERROR(VLOOKUP(B830 ,INVENTARIO!B890:C1000,2,0),"")</f>
        <v/>
      </c>
      <c r="D830" s="71">
        <f>SUMIF(ENTRADAS!B:B,B830,ENTRADAS!D:D)</f>
        <v>0</v>
      </c>
      <c r="E830" s="71">
        <f>SUMIF(SALIDAS!B:B,B830,SALIDAS!D:D)</f>
        <v>0</v>
      </c>
      <c r="F830" s="89">
        <f t="shared" si="1"/>
        <v>0</v>
      </c>
      <c r="G830" s="90"/>
      <c r="H830" s="90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</row>
    <row r="831">
      <c r="A831" s="79"/>
      <c r="B831" s="88"/>
      <c r="C831" s="71" t="str">
        <f>IFERROR(VLOOKUP(B831 ,INVENTARIO!B891:C1000,2,0),"")</f>
        <v/>
      </c>
      <c r="D831" s="71">
        <f>SUMIF(ENTRADAS!B:B,B831,ENTRADAS!D:D)</f>
        <v>0</v>
      </c>
      <c r="E831" s="71">
        <f>SUMIF(SALIDAS!B:B,B831,SALIDAS!D:D)</f>
        <v>0</v>
      </c>
      <c r="F831" s="89">
        <f t="shared" si="1"/>
        <v>0</v>
      </c>
      <c r="G831" s="90"/>
      <c r="H831" s="90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</row>
    <row r="832">
      <c r="A832" s="79"/>
      <c r="B832" s="88"/>
      <c r="C832" s="71" t="str">
        <f>IFERROR(VLOOKUP(B832 ,INVENTARIO!B892:C1000,2,0),"")</f>
        <v/>
      </c>
      <c r="D832" s="71">
        <f>SUMIF(ENTRADAS!B:B,B832,ENTRADAS!D:D)</f>
        <v>0</v>
      </c>
      <c r="E832" s="71">
        <f>SUMIF(SALIDAS!B:B,B832,SALIDAS!D:D)</f>
        <v>0</v>
      </c>
      <c r="F832" s="89">
        <f t="shared" si="1"/>
        <v>0</v>
      </c>
      <c r="G832" s="90"/>
      <c r="H832" s="90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</row>
    <row r="833">
      <c r="A833" s="79"/>
      <c r="B833" s="88"/>
      <c r="C833" s="71" t="str">
        <f>IFERROR(VLOOKUP(B833 ,INVENTARIO!B893:C1000,2,0),"")</f>
        <v/>
      </c>
      <c r="D833" s="71">
        <f>SUMIF(ENTRADAS!B:B,B833,ENTRADAS!D:D)</f>
        <v>0</v>
      </c>
      <c r="E833" s="71">
        <f>SUMIF(SALIDAS!B:B,B833,SALIDAS!D:D)</f>
        <v>0</v>
      </c>
      <c r="F833" s="89">
        <f t="shared" si="1"/>
        <v>0</v>
      </c>
      <c r="G833" s="90"/>
      <c r="H833" s="90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</row>
    <row r="834">
      <c r="A834" s="79"/>
      <c r="B834" s="88"/>
      <c r="C834" s="71" t="str">
        <f>IFERROR(VLOOKUP(B834 ,INVENTARIO!B894:C1000,2,0),"")</f>
        <v/>
      </c>
      <c r="D834" s="71">
        <f>SUMIF(ENTRADAS!B:B,B834,ENTRADAS!D:D)</f>
        <v>0</v>
      </c>
      <c r="E834" s="71">
        <f>SUMIF(SALIDAS!B:B,B834,SALIDAS!D:D)</f>
        <v>0</v>
      </c>
      <c r="F834" s="89">
        <f t="shared" si="1"/>
        <v>0</v>
      </c>
      <c r="G834" s="90"/>
      <c r="H834" s="90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</row>
    <row r="835">
      <c r="A835" s="79"/>
      <c r="B835" s="88"/>
      <c r="C835" s="71" t="str">
        <f>IFERROR(VLOOKUP(B835 ,INVENTARIO!B895:C1000,2,0),"")</f>
        <v/>
      </c>
      <c r="D835" s="71">
        <f>SUMIF(ENTRADAS!B:B,B835,ENTRADAS!D:D)</f>
        <v>0</v>
      </c>
      <c r="E835" s="71">
        <f>SUMIF(SALIDAS!B:B,B835,SALIDAS!D:D)</f>
        <v>0</v>
      </c>
      <c r="F835" s="89">
        <f t="shared" si="1"/>
        <v>0</v>
      </c>
      <c r="G835" s="90"/>
      <c r="H835" s="90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</row>
    <row r="836">
      <c r="A836" s="79"/>
      <c r="B836" s="88"/>
      <c r="C836" s="71" t="str">
        <f>IFERROR(VLOOKUP(B836 ,INVENTARIO!B896:C1000,2,0),"")</f>
        <v/>
      </c>
      <c r="D836" s="71">
        <f>SUMIF(ENTRADAS!B:B,B836,ENTRADAS!D:D)</f>
        <v>0</v>
      </c>
      <c r="E836" s="71">
        <f>SUMIF(SALIDAS!B:B,B836,SALIDAS!D:D)</f>
        <v>0</v>
      </c>
      <c r="F836" s="89">
        <f t="shared" si="1"/>
        <v>0</v>
      </c>
      <c r="G836" s="90"/>
      <c r="H836" s="90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</row>
    <row r="837">
      <c r="A837" s="79"/>
      <c r="B837" s="88"/>
      <c r="C837" s="71" t="str">
        <f>IFERROR(VLOOKUP(B837 ,INVENTARIO!B897:C1000,2,0),"")</f>
        <v/>
      </c>
      <c r="D837" s="71">
        <f>SUMIF(ENTRADAS!B:B,B837,ENTRADAS!D:D)</f>
        <v>0</v>
      </c>
      <c r="E837" s="71">
        <f>SUMIF(SALIDAS!B:B,B837,SALIDAS!D:D)</f>
        <v>0</v>
      </c>
      <c r="F837" s="89">
        <f t="shared" si="1"/>
        <v>0</v>
      </c>
      <c r="G837" s="90"/>
      <c r="H837" s="90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</row>
    <row r="838">
      <c r="A838" s="79"/>
      <c r="B838" s="88"/>
      <c r="C838" s="71" t="str">
        <f>IFERROR(VLOOKUP(B838 ,INVENTARIO!B898:C1000,2,0),"")</f>
        <v/>
      </c>
      <c r="D838" s="71">
        <f>SUMIF(ENTRADAS!B:B,B838,ENTRADAS!D:D)</f>
        <v>0</v>
      </c>
      <c r="E838" s="71">
        <f>SUMIF(SALIDAS!B:B,B838,SALIDAS!D:D)</f>
        <v>0</v>
      </c>
      <c r="F838" s="89">
        <f t="shared" si="1"/>
        <v>0</v>
      </c>
      <c r="G838" s="90"/>
      <c r="H838" s="90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</row>
    <row r="839">
      <c r="A839" s="79"/>
      <c r="B839" s="88"/>
      <c r="C839" s="71" t="str">
        <f>IFERROR(VLOOKUP(B839 ,INVENTARIO!B899:C1000,2,0),"")</f>
        <v/>
      </c>
      <c r="D839" s="71">
        <f>SUMIF(ENTRADAS!B:B,B839,ENTRADAS!D:D)</f>
        <v>0</v>
      </c>
      <c r="E839" s="71">
        <f>SUMIF(SALIDAS!B:B,B839,SALIDAS!D:D)</f>
        <v>0</v>
      </c>
      <c r="F839" s="89">
        <f t="shared" si="1"/>
        <v>0</v>
      </c>
      <c r="G839" s="90"/>
      <c r="H839" s="90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</row>
    <row r="840">
      <c r="A840" s="79"/>
      <c r="B840" s="88"/>
      <c r="C840" s="71" t="str">
        <f>IFERROR(VLOOKUP(B840 ,INVENTARIO!B900:C1000,2,0),"")</f>
        <v/>
      </c>
      <c r="D840" s="71">
        <f>SUMIF(ENTRADAS!B:B,B840,ENTRADAS!D:D)</f>
        <v>0</v>
      </c>
      <c r="E840" s="71">
        <f>SUMIF(SALIDAS!B:B,B840,SALIDAS!D:D)</f>
        <v>0</v>
      </c>
      <c r="F840" s="89">
        <f t="shared" si="1"/>
        <v>0</v>
      </c>
      <c r="G840" s="90"/>
      <c r="H840" s="90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</row>
    <row r="841">
      <c r="A841" s="79"/>
      <c r="B841" s="88"/>
      <c r="C841" s="71" t="str">
        <f>IFERROR(VLOOKUP(B841 ,INVENTARIO!B901:C1000,2,0),"")</f>
        <v/>
      </c>
      <c r="D841" s="71">
        <f>SUMIF(ENTRADAS!B:B,B841,ENTRADAS!D:D)</f>
        <v>0</v>
      </c>
      <c r="E841" s="71">
        <f>SUMIF(SALIDAS!B:B,B841,SALIDAS!D:D)</f>
        <v>0</v>
      </c>
      <c r="F841" s="89">
        <f t="shared" si="1"/>
        <v>0</v>
      </c>
      <c r="G841" s="90"/>
      <c r="H841" s="90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</row>
    <row r="842">
      <c r="A842" s="79"/>
      <c r="B842" s="88"/>
      <c r="C842" s="71" t="str">
        <f>IFERROR(VLOOKUP(B842 ,INVENTARIO!B902:C1000,2,0),"")</f>
        <v/>
      </c>
      <c r="D842" s="71">
        <f>SUMIF(ENTRADAS!B:B,B842,ENTRADAS!D:D)</f>
        <v>0</v>
      </c>
      <c r="E842" s="71">
        <f>SUMIF(SALIDAS!B:B,B842,SALIDAS!D:D)</f>
        <v>0</v>
      </c>
      <c r="F842" s="89">
        <f t="shared" si="1"/>
        <v>0</v>
      </c>
      <c r="G842" s="90"/>
      <c r="H842" s="90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</row>
    <row r="843">
      <c r="A843" s="79"/>
      <c r="B843" s="88"/>
      <c r="C843" s="71" t="str">
        <f>IFERROR(VLOOKUP(B843 ,INVENTARIO!B903:C1000,2,0),"")</f>
        <v/>
      </c>
      <c r="D843" s="71">
        <f>SUMIF(ENTRADAS!B:B,B843,ENTRADAS!D:D)</f>
        <v>0</v>
      </c>
      <c r="E843" s="71">
        <f>SUMIF(SALIDAS!B:B,B843,SALIDAS!D:D)</f>
        <v>0</v>
      </c>
      <c r="F843" s="89">
        <f t="shared" si="1"/>
        <v>0</v>
      </c>
      <c r="G843" s="90"/>
      <c r="H843" s="90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</row>
    <row r="844">
      <c r="A844" s="79"/>
      <c r="B844" s="88"/>
      <c r="C844" s="71" t="str">
        <f>IFERROR(VLOOKUP(B844 ,INVENTARIO!B904:C1000,2,0),"")</f>
        <v/>
      </c>
      <c r="D844" s="71">
        <f>SUMIF(ENTRADAS!B:B,B844,ENTRADAS!D:D)</f>
        <v>0</v>
      </c>
      <c r="E844" s="71">
        <f>SUMIF(SALIDAS!B:B,B844,SALIDAS!D:D)</f>
        <v>0</v>
      </c>
      <c r="F844" s="89">
        <f t="shared" si="1"/>
        <v>0</v>
      </c>
      <c r="G844" s="90"/>
      <c r="H844" s="90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</row>
    <row r="845">
      <c r="A845" s="79"/>
      <c r="B845" s="88"/>
      <c r="C845" s="71" t="str">
        <f>IFERROR(VLOOKUP(B845 ,INVENTARIO!B905:C1000,2,0),"")</f>
        <v/>
      </c>
      <c r="D845" s="71">
        <f>SUMIF(ENTRADAS!B:B,B845,ENTRADAS!D:D)</f>
        <v>0</v>
      </c>
      <c r="E845" s="71">
        <f>SUMIF(SALIDAS!B:B,B845,SALIDAS!D:D)</f>
        <v>0</v>
      </c>
      <c r="F845" s="89">
        <f t="shared" si="1"/>
        <v>0</v>
      </c>
      <c r="G845" s="90"/>
      <c r="H845" s="90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</row>
    <row r="846">
      <c r="A846" s="79"/>
      <c r="B846" s="88"/>
      <c r="C846" s="71" t="str">
        <f>IFERROR(VLOOKUP(B846 ,INVENTARIO!B906:C1000,2,0),"")</f>
        <v/>
      </c>
      <c r="D846" s="71">
        <f>SUMIF(ENTRADAS!B:B,B846,ENTRADAS!D:D)</f>
        <v>0</v>
      </c>
      <c r="E846" s="71">
        <f>SUMIF(SALIDAS!B:B,B846,SALIDAS!D:D)</f>
        <v>0</v>
      </c>
      <c r="F846" s="89">
        <f t="shared" si="1"/>
        <v>0</v>
      </c>
      <c r="G846" s="90"/>
      <c r="H846" s="90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</row>
    <row r="847">
      <c r="A847" s="79"/>
      <c r="B847" s="88"/>
      <c r="C847" s="71" t="str">
        <f>IFERROR(VLOOKUP(B847 ,INVENTARIO!B907:C1000,2,0),"")</f>
        <v/>
      </c>
      <c r="D847" s="71">
        <f>SUMIF(ENTRADAS!B:B,B847,ENTRADAS!D:D)</f>
        <v>0</v>
      </c>
      <c r="E847" s="71">
        <f>SUMIF(SALIDAS!B:B,B847,SALIDAS!D:D)</f>
        <v>0</v>
      </c>
      <c r="F847" s="89">
        <f t="shared" si="1"/>
        <v>0</v>
      </c>
      <c r="G847" s="90"/>
      <c r="H847" s="90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</row>
    <row r="848">
      <c r="A848" s="79"/>
      <c r="B848" s="88"/>
      <c r="C848" s="71" t="str">
        <f>IFERROR(VLOOKUP(B848 ,INVENTARIO!B908:C1000,2,0),"")</f>
        <v/>
      </c>
      <c r="D848" s="71">
        <f>SUMIF(ENTRADAS!B:B,B848,ENTRADAS!D:D)</f>
        <v>0</v>
      </c>
      <c r="E848" s="71">
        <f>SUMIF(SALIDAS!B:B,B848,SALIDAS!D:D)</f>
        <v>0</v>
      </c>
      <c r="F848" s="89">
        <f t="shared" si="1"/>
        <v>0</v>
      </c>
      <c r="G848" s="90"/>
      <c r="H848" s="90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</row>
    <row r="849">
      <c r="A849" s="79"/>
      <c r="B849" s="88"/>
      <c r="C849" s="71" t="str">
        <f>IFERROR(VLOOKUP(B849 ,INVENTARIO!B909:C1000,2,0),"")</f>
        <v/>
      </c>
      <c r="D849" s="71">
        <f>SUMIF(ENTRADAS!B:B,B849,ENTRADAS!D:D)</f>
        <v>0</v>
      </c>
      <c r="E849" s="71">
        <f>SUMIF(SALIDAS!B:B,B849,SALIDAS!D:D)</f>
        <v>0</v>
      </c>
      <c r="F849" s="89">
        <f t="shared" si="1"/>
        <v>0</v>
      </c>
      <c r="G849" s="90"/>
      <c r="H849" s="90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</row>
    <row r="850">
      <c r="A850" s="79"/>
      <c r="B850" s="88"/>
      <c r="C850" s="71" t="str">
        <f>IFERROR(VLOOKUP(B850 ,INVENTARIO!B910:C1000,2,0),"")</f>
        <v/>
      </c>
      <c r="D850" s="71">
        <f>SUMIF(ENTRADAS!B:B,B850,ENTRADAS!D:D)</f>
        <v>0</v>
      </c>
      <c r="E850" s="71">
        <f>SUMIF(SALIDAS!B:B,B850,SALIDAS!D:D)</f>
        <v>0</v>
      </c>
      <c r="F850" s="89">
        <f t="shared" si="1"/>
        <v>0</v>
      </c>
      <c r="G850" s="90"/>
      <c r="H850" s="90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</row>
    <row r="851">
      <c r="A851" s="79"/>
      <c r="B851" s="88"/>
      <c r="C851" s="71" t="str">
        <f>IFERROR(VLOOKUP(B851 ,INVENTARIO!B911:C1000,2,0),"")</f>
        <v/>
      </c>
      <c r="D851" s="71">
        <f>SUMIF(ENTRADAS!B:B,B851,ENTRADAS!D:D)</f>
        <v>0</v>
      </c>
      <c r="E851" s="71">
        <f>SUMIF(SALIDAS!B:B,B851,SALIDAS!D:D)</f>
        <v>0</v>
      </c>
      <c r="F851" s="89">
        <f t="shared" si="1"/>
        <v>0</v>
      </c>
      <c r="G851" s="90"/>
      <c r="H851" s="90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</row>
    <row r="852">
      <c r="A852" s="79"/>
      <c r="B852" s="88"/>
      <c r="C852" s="71" t="str">
        <f>IFERROR(VLOOKUP(B852 ,INVENTARIO!B912:C1000,2,0),"")</f>
        <v/>
      </c>
      <c r="D852" s="71">
        <f>SUMIF(ENTRADAS!B:B,B852,ENTRADAS!D:D)</f>
        <v>0</v>
      </c>
      <c r="E852" s="71">
        <f>SUMIF(SALIDAS!B:B,B852,SALIDAS!D:D)</f>
        <v>0</v>
      </c>
      <c r="F852" s="89">
        <f t="shared" si="1"/>
        <v>0</v>
      </c>
      <c r="G852" s="90"/>
      <c r="H852" s="90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</row>
    <row r="853">
      <c r="A853" s="79"/>
      <c r="B853" s="88"/>
      <c r="C853" s="71" t="str">
        <f>IFERROR(VLOOKUP(B853 ,INVENTARIO!B913:C1000,2,0),"")</f>
        <v/>
      </c>
      <c r="D853" s="71">
        <f>SUMIF(ENTRADAS!B:B,B853,ENTRADAS!D:D)</f>
        <v>0</v>
      </c>
      <c r="E853" s="71">
        <f>SUMIF(SALIDAS!B:B,B853,SALIDAS!D:D)</f>
        <v>0</v>
      </c>
      <c r="F853" s="89">
        <f t="shared" si="1"/>
        <v>0</v>
      </c>
      <c r="G853" s="90"/>
      <c r="H853" s="90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</row>
    <row r="854">
      <c r="A854" s="79"/>
      <c r="B854" s="88"/>
      <c r="C854" s="71" t="str">
        <f>IFERROR(VLOOKUP(B854 ,INVENTARIO!B914:C1000,2,0),"")</f>
        <v/>
      </c>
      <c r="D854" s="71">
        <f>SUMIF(ENTRADAS!B:B,B854,ENTRADAS!D:D)</f>
        <v>0</v>
      </c>
      <c r="E854" s="71">
        <f>SUMIF(SALIDAS!B:B,B854,SALIDAS!D:D)</f>
        <v>0</v>
      </c>
      <c r="F854" s="89">
        <f t="shared" si="1"/>
        <v>0</v>
      </c>
      <c r="G854" s="90"/>
      <c r="H854" s="90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</row>
    <row r="855">
      <c r="A855" s="79"/>
      <c r="B855" s="88"/>
      <c r="C855" s="71" t="str">
        <f>IFERROR(VLOOKUP(B855 ,INVENTARIO!B915:C1000,2,0),"")</f>
        <v/>
      </c>
      <c r="D855" s="71">
        <f>SUMIF(ENTRADAS!B:B,B855,ENTRADAS!D:D)</f>
        <v>0</v>
      </c>
      <c r="E855" s="71">
        <f>SUMIF(SALIDAS!B:B,B855,SALIDAS!D:D)</f>
        <v>0</v>
      </c>
      <c r="F855" s="89">
        <f t="shared" si="1"/>
        <v>0</v>
      </c>
      <c r="G855" s="90"/>
      <c r="H855" s="90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</row>
    <row r="856">
      <c r="A856" s="79"/>
      <c r="B856" s="88"/>
      <c r="C856" s="71" t="str">
        <f>IFERROR(VLOOKUP(B856 ,INVENTARIO!B916:C1000,2,0),"")</f>
        <v/>
      </c>
      <c r="D856" s="71">
        <f>SUMIF(ENTRADAS!B:B,B856,ENTRADAS!D:D)</f>
        <v>0</v>
      </c>
      <c r="E856" s="71">
        <f>SUMIF(SALIDAS!B:B,B856,SALIDAS!D:D)</f>
        <v>0</v>
      </c>
      <c r="F856" s="89">
        <f t="shared" si="1"/>
        <v>0</v>
      </c>
      <c r="G856" s="90"/>
      <c r="H856" s="90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</row>
    <row r="857">
      <c r="A857" s="79"/>
      <c r="B857" s="88"/>
      <c r="C857" s="71" t="str">
        <f>IFERROR(VLOOKUP(B857 ,INVENTARIO!B917:C1000,2,0),"")</f>
        <v/>
      </c>
      <c r="D857" s="71">
        <f>SUMIF(ENTRADAS!B:B,B857,ENTRADAS!D:D)</f>
        <v>0</v>
      </c>
      <c r="E857" s="71">
        <f>SUMIF(SALIDAS!B:B,B857,SALIDAS!D:D)</f>
        <v>0</v>
      </c>
      <c r="F857" s="89">
        <f t="shared" si="1"/>
        <v>0</v>
      </c>
      <c r="G857" s="90"/>
      <c r="H857" s="90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</row>
    <row r="858">
      <c r="A858" s="79"/>
      <c r="B858" s="88"/>
      <c r="C858" s="71" t="str">
        <f>IFERROR(VLOOKUP(B858 ,INVENTARIO!B918:C1000,2,0),"")</f>
        <v/>
      </c>
      <c r="D858" s="71">
        <f>SUMIF(ENTRADAS!B:B,B858,ENTRADAS!D:D)</f>
        <v>0</v>
      </c>
      <c r="E858" s="71">
        <f>SUMIF(SALIDAS!B:B,B858,SALIDAS!D:D)</f>
        <v>0</v>
      </c>
      <c r="F858" s="89">
        <f t="shared" si="1"/>
        <v>0</v>
      </c>
      <c r="G858" s="90"/>
      <c r="H858" s="90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</row>
    <row r="859">
      <c r="A859" s="79"/>
      <c r="B859" s="88"/>
      <c r="C859" s="71" t="str">
        <f>IFERROR(VLOOKUP(B859 ,INVENTARIO!B919:C1000,2,0),"")</f>
        <v/>
      </c>
      <c r="D859" s="71">
        <f>SUMIF(ENTRADAS!B:B,B859,ENTRADAS!D:D)</f>
        <v>0</v>
      </c>
      <c r="E859" s="71">
        <f>SUMIF(SALIDAS!B:B,B859,SALIDAS!D:D)</f>
        <v>0</v>
      </c>
      <c r="F859" s="89">
        <f t="shared" si="1"/>
        <v>0</v>
      </c>
      <c r="G859" s="90"/>
      <c r="H859" s="90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</row>
    <row r="860">
      <c r="A860" s="79"/>
      <c r="B860" s="88"/>
      <c r="C860" s="71" t="str">
        <f>IFERROR(VLOOKUP(B860 ,INVENTARIO!B920:C1000,2,0),"")</f>
        <v/>
      </c>
      <c r="D860" s="71">
        <f>SUMIF(ENTRADAS!B:B,B860,ENTRADAS!D:D)</f>
        <v>0</v>
      </c>
      <c r="E860" s="71">
        <f>SUMIF(SALIDAS!B:B,B860,SALIDAS!D:D)</f>
        <v>0</v>
      </c>
      <c r="F860" s="89">
        <f t="shared" si="1"/>
        <v>0</v>
      </c>
      <c r="G860" s="90"/>
      <c r="H860" s="90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</row>
    <row r="861">
      <c r="A861" s="79"/>
      <c r="B861" s="88"/>
      <c r="C861" s="71" t="str">
        <f>IFERROR(VLOOKUP(B861 ,INVENTARIO!B921:C1000,2,0),"")</f>
        <v/>
      </c>
      <c r="D861" s="71">
        <f>SUMIF(ENTRADAS!B:B,B861,ENTRADAS!D:D)</f>
        <v>0</v>
      </c>
      <c r="E861" s="71">
        <f>SUMIF(SALIDAS!B:B,B861,SALIDAS!D:D)</f>
        <v>0</v>
      </c>
      <c r="F861" s="89">
        <f t="shared" si="1"/>
        <v>0</v>
      </c>
      <c r="G861" s="90"/>
      <c r="H861" s="90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</row>
    <row r="862">
      <c r="A862" s="79"/>
      <c r="B862" s="88"/>
      <c r="C862" s="71" t="str">
        <f>IFERROR(VLOOKUP(B862 ,INVENTARIO!B922:C1000,2,0),"")</f>
        <v/>
      </c>
      <c r="D862" s="71">
        <f>SUMIF(ENTRADAS!B:B,B862,ENTRADAS!D:D)</f>
        <v>0</v>
      </c>
      <c r="E862" s="71">
        <f>SUMIF(SALIDAS!B:B,B862,SALIDAS!D:D)</f>
        <v>0</v>
      </c>
      <c r="F862" s="89">
        <f t="shared" si="1"/>
        <v>0</v>
      </c>
      <c r="G862" s="90"/>
      <c r="H862" s="90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</row>
    <row r="863">
      <c r="A863" s="79"/>
      <c r="B863" s="88"/>
      <c r="C863" s="71" t="str">
        <f>IFERROR(VLOOKUP(B863 ,INVENTARIO!B923:C1000,2,0),"")</f>
        <v/>
      </c>
      <c r="D863" s="71">
        <f>SUMIF(ENTRADAS!B:B,B863,ENTRADAS!D:D)</f>
        <v>0</v>
      </c>
      <c r="E863" s="71">
        <f>SUMIF(SALIDAS!B:B,B863,SALIDAS!D:D)</f>
        <v>0</v>
      </c>
      <c r="F863" s="89">
        <f t="shared" si="1"/>
        <v>0</v>
      </c>
      <c r="G863" s="90"/>
      <c r="H863" s="90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</row>
    <row r="864">
      <c r="A864" s="79"/>
      <c r="B864" s="88"/>
      <c r="C864" s="71" t="str">
        <f>IFERROR(VLOOKUP(B864 ,INVENTARIO!B924:C1000,2,0),"")</f>
        <v/>
      </c>
      <c r="D864" s="71">
        <f>SUMIF(ENTRADAS!B:B,B864,ENTRADAS!D:D)</f>
        <v>0</v>
      </c>
      <c r="E864" s="71">
        <f>SUMIF(SALIDAS!B:B,B864,SALIDAS!D:D)</f>
        <v>0</v>
      </c>
      <c r="F864" s="89">
        <f t="shared" si="1"/>
        <v>0</v>
      </c>
      <c r="G864" s="90"/>
      <c r="H864" s="90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</row>
    <row r="865">
      <c r="A865" s="79"/>
      <c r="B865" s="88"/>
      <c r="C865" s="71" t="str">
        <f>IFERROR(VLOOKUP(B865 ,INVENTARIO!B925:C1000,2,0),"")</f>
        <v/>
      </c>
      <c r="D865" s="71">
        <f>SUMIF(ENTRADAS!B:B,B865,ENTRADAS!D:D)</f>
        <v>0</v>
      </c>
      <c r="E865" s="71">
        <f>SUMIF(SALIDAS!B:B,B865,SALIDAS!D:D)</f>
        <v>0</v>
      </c>
      <c r="F865" s="89">
        <f t="shared" si="1"/>
        <v>0</v>
      </c>
      <c r="G865" s="90"/>
      <c r="H865" s="90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</row>
    <row r="866">
      <c r="A866" s="79"/>
      <c r="B866" s="88"/>
      <c r="C866" s="71" t="str">
        <f>IFERROR(VLOOKUP(B866 ,INVENTARIO!B926:C1000,2,0),"")</f>
        <v/>
      </c>
      <c r="D866" s="71">
        <f>SUMIF(ENTRADAS!B:B,B866,ENTRADAS!D:D)</f>
        <v>0</v>
      </c>
      <c r="E866" s="71">
        <f>SUMIF(SALIDAS!B:B,B866,SALIDAS!D:D)</f>
        <v>0</v>
      </c>
      <c r="F866" s="89">
        <f t="shared" si="1"/>
        <v>0</v>
      </c>
      <c r="G866" s="90"/>
      <c r="H866" s="90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</row>
    <row r="867">
      <c r="A867" s="79"/>
      <c r="B867" s="88"/>
      <c r="C867" s="71" t="str">
        <f>IFERROR(VLOOKUP(B867 ,INVENTARIO!B927:C1000,2,0),"")</f>
        <v/>
      </c>
      <c r="D867" s="71">
        <f>SUMIF(ENTRADAS!B:B,B867,ENTRADAS!D:D)</f>
        <v>0</v>
      </c>
      <c r="E867" s="71">
        <f>SUMIF(SALIDAS!B:B,B867,SALIDAS!D:D)</f>
        <v>0</v>
      </c>
      <c r="F867" s="89">
        <f t="shared" si="1"/>
        <v>0</v>
      </c>
      <c r="G867" s="90"/>
      <c r="H867" s="90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</row>
    <row r="868">
      <c r="A868" s="79"/>
      <c r="B868" s="88"/>
      <c r="C868" s="71" t="str">
        <f>IFERROR(VLOOKUP(B868 ,INVENTARIO!B928:C1000,2,0),"")</f>
        <v/>
      </c>
      <c r="D868" s="71">
        <f>SUMIF(ENTRADAS!B:B,B868,ENTRADAS!D:D)</f>
        <v>0</v>
      </c>
      <c r="E868" s="71">
        <f>SUMIF(SALIDAS!B:B,B868,SALIDAS!D:D)</f>
        <v>0</v>
      </c>
      <c r="F868" s="89">
        <f t="shared" si="1"/>
        <v>0</v>
      </c>
      <c r="G868" s="90"/>
      <c r="H868" s="90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</row>
    <row r="869">
      <c r="A869" s="79"/>
      <c r="B869" s="88"/>
      <c r="C869" s="71" t="str">
        <f>IFERROR(VLOOKUP(B869 ,INVENTARIO!B929:C1000,2,0),"")</f>
        <v/>
      </c>
      <c r="D869" s="71">
        <f>SUMIF(ENTRADAS!B:B,B869,ENTRADAS!D:D)</f>
        <v>0</v>
      </c>
      <c r="E869" s="71">
        <f>SUMIF(SALIDAS!B:B,B869,SALIDAS!D:D)</f>
        <v>0</v>
      </c>
      <c r="F869" s="89">
        <f t="shared" si="1"/>
        <v>0</v>
      </c>
      <c r="G869" s="90"/>
      <c r="H869" s="90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</row>
    <row r="870">
      <c r="A870" s="79"/>
      <c r="B870" s="88"/>
      <c r="C870" s="71" t="str">
        <f>IFERROR(VLOOKUP(B870 ,INVENTARIO!B930:C1000,2,0),"")</f>
        <v/>
      </c>
      <c r="D870" s="71">
        <f>SUMIF(ENTRADAS!B:B,B870,ENTRADAS!D:D)</f>
        <v>0</v>
      </c>
      <c r="E870" s="71">
        <f>SUMIF(SALIDAS!B:B,B870,SALIDAS!D:D)</f>
        <v>0</v>
      </c>
      <c r="F870" s="89">
        <f t="shared" si="1"/>
        <v>0</v>
      </c>
      <c r="G870" s="90"/>
      <c r="H870" s="90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</row>
    <row r="871">
      <c r="A871" s="79"/>
      <c r="B871" s="88"/>
      <c r="C871" s="71" t="str">
        <f>IFERROR(VLOOKUP(B871 ,INVENTARIO!B931:C1000,2,0),"")</f>
        <v/>
      </c>
      <c r="D871" s="71">
        <f>SUMIF(ENTRADAS!B:B,B871,ENTRADAS!D:D)</f>
        <v>0</v>
      </c>
      <c r="E871" s="71">
        <f>SUMIF(SALIDAS!B:B,B871,SALIDAS!D:D)</f>
        <v>0</v>
      </c>
      <c r="F871" s="89">
        <f t="shared" si="1"/>
        <v>0</v>
      </c>
      <c r="G871" s="90"/>
      <c r="H871" s="90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</row>
    <row r="872">
      <c r="A872" s="79"/>
      <c r="B872" s="88"/>
      <c r="C872" s="71" t="str">
        <f>IFERROR(VLOOKUP(B872 ,INVENTARIO!B932:C1000,2,0),"")</f>
        <v/>
      </c>
      <c r="D872" s="71">
        <f>SUMIF(ENTRADAS!B:B,B872,ENTRADAS!D:D)</f>
        <v>0</v>
      </c>
      <c r="E872" s="71">
        <f>SUMIF(SALIDAS!B:B,B872,SALIDAS!D:D)</f>
        <v>0</v>
      </c>
      <c r="F872" s="89">
        <f t="shared" si="1"/>
        <v>0</v>
      </c>
      <c r="G872" s="90"/>
      <c r="H872" s="90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</row>
    <row r="873">
      <c r="A873" s="79"/>
      <c r="B873" s="88"/>
      <c r="C873" s="71" t="str">
        <f>IFERROR(VLOOKUP(B873 ,INVENTARIO!B933:C1000,2,0),"")</f>
        <v/>
      </c>
      <c r="D873" s="71">
        <f>SUMIF(ENTRADAS!B:B,B873,ENTRADAS!D:D)</f>
        <v>0</v>
      </c>
      <c r="E873" s="71">
        <f>SUMIF(SALIDAS!B:B,B873,SALIDAS!D:D)</f>
        <v>0</v>
      </c>
      <c r="F873" s="89">
        <f t="shared" si="1"/>
        <v>0</v>
      </c>
      <c r="G873" s="90"/>
      <c r="H873" s="90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</row>
    <row r="874">
      <c r="A874" s="79"/>
      <c r="B874" s="88"/>
      <c r="C874" s="71" t="str">
        <f>IFERROR(VLOOKUP(B874 ,INVENTARIO!B934:C1000,2,0),"")</f>
        <v/>
      </c>
      <c r="D874" s="71">
        <f>SUMIF(ENTRADAS!B:B,B874,ENTRADAS!D:D)</f>
        <v>0</v>
      </c>
      <c r="E874" s="71">
        <f>SUMIF(SALIDAS!B:B,B874,SALIDAS!D:D)</f>
        <v>0</v>
      </c>
      <c r="F874" s="89">
        <f t="shared" si="1"/>
        <v>0</v>
      </c>
      <c r="G874" s="90"/>
      <c r="H874" s="90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</row>
    <row r="875">
      <c r="A875" s="79"/>
      <c r="B875" s="88"/>
      <c r="C875" s="71" t="str">
        <f>IFERROR(VLOOKUP(B875 ,INVENTARIO!B935:C1000,2,0),"")</f>
        <v/>
      </c>
      <c r="D875" s="71">
        <f>SUMIF(ENTRADAS!B:B,B875,ENTRADAS!D:D)</f>
        <v>0</v>
      </c>
      <c r="E875" s="71">
        <f>SUMIF(SALIDAS!B:B,B875,SALIDAS!D:D)</f>
        <v>0</v>
      </c>
      <c r="F875" s="89">
        <f t="shared" si="1"/>
        <v>0</v>
      </c>
      <c r="G875" s="90"/>
      <c r="H875" s="90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</row>
    <row r="876">
      <c r="A876" s="79"/>
      <c r="B876" s="88"/>
      <c r="C876" s="71" t="str">
        <f>IFERROR(VLOOKUP(B876 ,INVENTARIO!B936:C1000,2,0),"")</f>
        <v/>
      </c>
      <c r="D876" s="71">
        <f>SUMIF(ENTRADAS!B:B,B876,ENTRADAS!D:D)</f>
        <v>0</v>
      </c>
      <c r="E876" s="71">
        <f>SUMIF(SALIDAS!B:B,B876,SALIDAS!D:D)</f>
        <v>0</v>
      </c>
      <c r="F876" s="89">
        <f t="shared" si="1"/>
        <v>0</v>
      </c>
      <c r="G876" s="90"/>
      <c r="H876" s="90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</row>
    <row r="877">
      <c r="A877" s="79"/>
      <c r="B877" s="88"/>
      <c r="C877" s="71" t="str">
        <f>IFERROR(VLOOKUP(B877 ,INVENTARIO!B937:C1000,2,0),"")</f>
        <v/>
      </c>
      <c r="D877" s="71">
        <f>SUMIF(ENTRADAS!B:B,B877,ENTRADAS!D:D)</f>
        <v>0</v>
      </c>
      <c r="E877" s="71">
        <f>SUMIF(SALIDAS!B:B,B877,SALIDAS!D:D)</f>
        <v>0</v>
      </c>
      <c r="F877" s="89">
        <f t="shared" si="1"/>
        <v>0</v>
      </c>
      <c r="G877" s="90"/>
      <c r="H877" s="90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</row>
    <row r="878">
      <c r="A878" s="79"/>
      <c r="B878" s="88"/>
      <c r="C878" s="71" t="str">
        <f>IFERROR(VLOOKUP(B878 ,INVENTARIO!B938:C1000,2,0),"")</f>
        <v/>
      </c>
      <c r="D878" s="71">
        <f>SUMIF(ENTRADAS!B:B,B878,ENTRADAS!D:D)</f>
        <v>0</v>
      </c>
      <c r="E878" s="71">
        <f>SUMIF(SALIDAS!B:B,B878,SALIDAS!D:D)</f>
        <v>0</v>
      </c>
      <c r="F878" s="89">
        <f t="shared" si="1"/>
        <v>0</v>
      </c>
      <c r="G878" s="90"/>
      <c r="H878" s="90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</row>
    <row r="879">
      <c r="A879" s="79"/>
      <c r="B879" s="88"/>
      <c r="C879" s="71" t="str">
        <f>IFERROR(VLOOKUP(B879 ,INVENTARIO!B939:C1000,2,0),"")</f>
        <v/>
      </c>
      <c r="D879" s="71">
        <f>SUMIF(ENTRADAS!B:B,B879,ENTRADAS!D:D)</f>
        <v>0</v>
      </c>
      <c r="E879" s="71">
        <f>SUMIF(SALIDAS!B:B,B879,SALIDAS!D:D)</f>
        <v>0</v>
      </c>
      <c r="F879" s="89">
        <f t="shared" si="1"/>
        <v>0</v>
      </c>
      <c r="G879" s="90"/>
      <c r="H879" s="90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</row>
    <row r="880">
      <c r="A880" s="79"/>
      <c r="B880" s="88"/>
      <c r="C880" s="71" t="str">
        <f>IFERROR(VLOOKUP(B880 ,INVENTARIO!B940:C1000,2,0),"")</f>
        <v/>
      </c>
      <c r="D880" s="71">
        <f>SUMIF(ENTRADAS!B:B,B880,ENTRADAS!D:D)</f>
        <v>0</v>
      </c>
      <c r="E880" s="71">
        <f>SUMIF(SALIDAS!B:B,B880,SALIDAS!D:D)</f>
        <v>0</v>
      </c>
      <c r="F880" s="89">
        <f t="shared" si="1"/>
        <v>0</v>
      </c>
      <c r="G880" s="90"/>
      <c r="H880" s="90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</row>
    <row r="881">
      <c r="A881" s="79"/>
      <c r="B881" s="88"/>
      <c r="C881" s="71" t="str">
        <f>IFERROR(VLOOKUP(B881 ,INVENTARIO!B941:C1000,2,0),"")</f>
        <v/>
      </c>
      <c r="D881" s="71">
        <f>SUMIF(ENTRADAS!B:B,B881,ENTRADAS!D:D)</f>
        <v>0</v>
      </c>
      <c r="E881" s="71">
        <f>SUMIF(SALIDAS!B:B,B881,SALIDAS!D:D)</f>
        <v>0</v>
      </c>
      <c r="F881" s="89">
        <f t="shared" si="1"/>
        <v>0</v>
      </c>
      <c r="G881" s="90"/>
      <c r="H881" s="90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</row>
    <row r="882">
      <c r="A882" s="79"/>
      <c r="B882" s="88"/>
      <c r="C882" s="71" t="str">
        <f>IFERROR(VLOOKUP(B882 ,INVENTARIO!B942:C1000,2,0),"")</f>
        <v/>
      </c>
      <c r="D882" s="71">
        <f>SUMIF(ENTRADAS!B:B,B882,ENTRADAS!D:D)</f>
        <v>0</v>
      </c>
      <c r="E882" s="71">
        <f>SUMIF(SALIDAS!B:B,B882,SALIDAS!D:D)</f>
        <v>0</v>
      </c>
      <c r="F882" s="89">
        <f t="shared" si="1"/>
        <v>0</v>
      </c>
      <c r="G882" s="90"/>
      <c r="H882" s="90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</row>
    <row r="883">
      <c r="A883" s="79"/>
      <c r="B883" s="88"/>
      <c r="C883" s="71" t="str">
        <f>IFERROR(VLOOKUP(B883 ,INVENTARIO!B943:C1000,2,0),"")</f>
        <v/>
      </c>
      <c r="D883" s="71">
        <f>SUMIF(ENTRADAS!B:B,B883,ENTRADAS!D:D)</f>
        <v>0</v>
      </c>
      <c r="E883" s="71">
        <f>SUMIF(SALIDAS!B:B,B883,SALIDAS!D:D)</f>
        <v>0</v>
      </c>
      <c r="F883" s="89">
        <f t="shared" si="1"/>
        <v>0</v>
      </c>
      <c r="G883" s="90"/>
      <c r="H883" s="90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</row>
    <row r="884">
      <c r="A884" s="79"/>
      <c r="B884" s="88"/>
      <c r="C884" s="71" t="str">
        <f>IFERROR(VLOOKUP(B884 ,INVENTARIO!B944:C1000,2,0),"")</f>
        <v/>
      </c>
      <c r="D884" s="71">
        <f>SUMIF(ENTRADAS!B:B,B884,ENTRADAS!D:D)</f>
        <v>0</v>
      </c>
      <c r="E884" s="71">
        <f>SUMIF(SALIDAS!B:B,B884,SALIDAS!D:D)</f>
        <v>0</v>
      </c>
      <c r="F884" s="89">
        <f t="shared" si="1"/>
        <v>0</v>
      </c>
      <c r="G884" s="90"/>
      <c r="H884" s="90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</row>
    <row r="885">
      <c r="A885" s="79"/>
      <c r="B885" s="88"/>
      <c r="C885" s="71" t="str">
        <f>IFERROR(VLOOKUP(B885 ,INVENTARIO!B945:C1000,2,0),"")</f>
        <v/>
      </c>
      <c r="D885" s="71">
        <f>SUMIF(ENTRADAS!B:B,B885,ENTRADAS!D:D)</f>
        <v>0</v>
      </c>
      <c r="E885" s="71">
        <f>SUMIF(SALIDAS!B:B,B885,SALIDAS!D:D)</f>
        <v>0</v>
      </c>
      <c r="F885" s="89">
        <f t="shared" si="1"/>
        <v>0</v>
      </c>
      <c r="G885" s="90"/>
      <c r="H885" s="90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</row>
    <row r="886">
      <c r="A886" s="79"/>
      <c r="B886" s="88"/>
      <c r="C886" s="71" t="str">
        <f>IFERROR(VLOOKUP(B886 ,INVENTARIO!B946:C1000,2,0),"")</f>
        <v/>
      </c>
      <c r="D886" s="71">
        <f>SUMIF(ENTRADAS!B:B,B886,ENTRADAS!D:D)</f>
        <v>0</v>
      </c>
      <c r="E886" s="71">
        <f>SUMIF(SALIDAS!B:B,B886,SALIDAS!D:D)</f>
        <v>0</v>
      </c>
      <c r="F886" s="89">
        <f t="shared" si="1"/>
        <v>0</v>
      </c>
      <c r="G886" s="90"/>
      <c r="H886" s="90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</row>
    <row r="887">
      <c r="A887" s="79"/>
      <c r="B887" s="88"/>
      <c r="C887" s="71" t="str">
        <f>IFERROR(VLOOKUP(B887 ,INVENTARIO!B947:C1000,2,0),"")</f>
        <v/>
      </c>
      <c r="D887" s="71">
        <f>SUMIF(ENTRADAS!B:B,B887,ENTRADAS!D:D)</f>
        <v>0</v>
      </c>
      <c r="E887" s="71">
        <f>SUMIF(SALIDAS!B:B,B887,SALIDAS!D:D)</f>
        <v>0</v>
      </c>
      <c r="F887" s="89">
        <f t="shared" si="1"/>
        <v>0</v>
      </c>
      <c r="G887" s="90"/>
      <c r="H887" s="90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</row>
    <row r="888">
      <c r="A888" s="79"/>
      <c r="B888" s="88"/>
      <c r="C888" s="71" t="str">
        <f>IFERROR(VLOOKUP(B888 ,INVENTARIO!B948:C1000,2,0),"")</f>
        <v/>
      </c>
      <c r="D888" s="71">
        <f>SUMIF(ENTRADAS!B:B,B888,ENTRADAS!D:D)</f>
        <v>0</v>
      </c>
      <c r="E888" s="71">
        <f>SUMIF(SALIDAS!B:B,B888,SALIDAS!D:D)</f>
        <v>0</v>
      </c>
      <c r="F888" s="89">
        <f t="shared" si="1"/>
        <v>0</v>
      </c>
      <c r="G888" s="90"/>
      <c r="H888" s="90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</row>
    <row r="889">
      <c r="A889" s="79"/>
      <c r="B889" s="88"/>
      <c r="C889" s="71" t="str">
        <f>IFERROR(VLOOKUP(B889 ,INVENTARIO!B949:C1000,2,0),"")</f>
        <v/>
      </c>
      <c r="D889" s="71">
        <f>SUMIF(ENTRADAS!B:B,B889,ENTRADAS!D:D)</f>
        <v>0</v>
      </c>
      <c r="E889" s="71">
        <f>SUMIF(SALIDAS!B:B,B889,SALIDAS!D:D)</f>
        <v>0</v>
      </c>
      <c r="F889" s="89">
        <f t="shared" si="1"/>
        <v>0</v>
      </c>
      <c r="G889" s="90"/>
      <c r="H889" s="90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</row>
    <row r="890">
      <c r="A890" s="79"/>
      <c r="B890" s="88"/>
      <c r="C890" s="71" t="str">
        <f>IFERROR(VLOOKUP(B890 ,INVENTARIO!B950:C1000,2,0),"")</f>
        <v/>
      </c>
      <c r="D890" s="71">
        <f>SUMIF(ENTRADAS!B:B,B890,ENTRADAS!D:D)</f>
        <v>0</v>
      </c>
      <c r="E890" s="71">
        <f>SUMIF(SALIDAS!B:B,B890,SALIDAS!D:D)</f>
        <v>0</v>
      </c>
      <c r="F890" s="89">
        <f t="shared" si="1"/>
        <v>0</v>
      </c>
      <c r="G890" s="90"/>
      <c r="H890" s="90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</row>
    <row r="891">
      <c r="A891" s="79"/>
      <c r="B891" s="88"/>
      <c r="C891" s="71" t="str">
        <f>IFERROR(VLOOKUP(B891 ,INVENTARIO!B951:C1000,2,0),"")</f>
        <v/>
      </c>
      <c r="D891" s="71">
        <f>SUMIF(ENTRADAS!B:B,B891,ENTRADAS!D:D)</f>
        <v>0</v>
      </c>
      <c r="E891" s="71">
        <f>SUMIF(SALIDAS!B:B,B891,SALIDAS!D:D)</f>
        <v>0</v>
      </c>
      <c r="F891" s="89">
        <f t="shared" si="1"/>
        <v>0</v>
      </c>
      <c r="G891" s="90"/>
      <c r="H891" s="90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</row>
    <row r="892">
      <c r="A892" s="79"/>
      <c r="B892" s="88"/>
      <c r="C892" s="71" t="str">
        <f>IFERROR(VLOOKUP(B892 ,INVENTARIO!B952:C1000,2,0),"")</f>
        <v/>
      </c>
      <c r="D892" s="71">
        <f>SUMIF(ENTRADAS!B:B,B892,ENTRADAS!D:D)</f>
        <v>0</v>
      </c>
      <c r="E892" s="71">
        <f>SUMIF(SALIDAS!B:B,B892,SALIDAS!D:D)</f>
        <v>0</v>
      </c>
      <c r="F892" s="89">
        <f t="shared" si="1"/>
        <v>0</v>
      </c>
      <c r="G892" s="90"/>
      <c r="H892" s="90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</row>
    <row r="893">
      <c r="A893" s="79"/>
      <c r="B893" s="88"/>
      <c r="C893" s="71" t="str">
        <f>IFERROR(VLOOKUP(B893 ,INVENTARIO!B953:C1000,2,0),"")</f>
        <v/>
      </c>
      <c r="D893" s="71">
        <f>SUMIF(ENTRADAS!B:B,B893,ENTRADAS!D:D)</f>
        <v>0</v>
      </c>
      <c r="E893" s="71">
        <f>SUMIF(SALIDAS!B:B,B893,SALIDAS!D:D)</f>
        <v>0</v>
      </c>
      <c r="F893" s="89">
        <f t="shared" si="1"/>
        <v>0</v>
      </c>
      <c r="G893" s="90"/>
      <c r="H893" s="90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</row>
    <row r="894">
      <c r="A894" s="79"/>
      <c r="B894" s="88"/>
      <c r="C894" s="71" t="str">
        <f>IFERROR(VLOOKUP(B894 ,INVENTARIO!B954:C1000,2,0),"")</f>
        <v/>
      </c>
      <c r="D894" s="71">
        <f>SUMIF(ENTRADAS!B:B,B894,ENTRADAS!D:D)</f>
        <v>0</v>
      </c>
      <c r="E894" s="71">
        <f>SUMIF(SALIDAS!B:B,B894,SALIDAS!D:D)</f>
        <v>0</v>
      </c>
      <c r="F894" s="89">
        <f t="shared" si="1"/>
        <v>0</v>
      </c>
      <c r="G894" s="90"/>
      <c r="H894" s="90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</row>
    <row r="895">
      <c r="A895" s="79"/>
      <c r="B895" s="88"/>
      <c r="C895" s="71" t="str">
        <f>IFERROR(VLOOKUP(B895 ,INVENTARIO!B955:C1000,2,0),"")</f>
        <v/>
      </c>
      <c r="D895" s="71">
        <f>SUMIF(ENTRADAS!B:B,B895,ENTRADAS!D:D)</f>
        <v>0</v>
      </c>
      <c r="E895" s="71">
        <f>SUMIF(SALIDAS!B:B,B895,SALIDAS!D:D)</f>
        <v>0</v>
      </c>
      <c r="F895" s="89">
        <f t="shared" si="1"/>
        <v>0</v>
      </c>
      <c r="G895" s="90"/>
      <c r="H895" s="90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</row>
    <row r="896">
      <c r="A896" s="79"/>
      <c r="B896" s="88"/>
      <c r="C896" s="71" t="str">
        <f>IFERROR(VLOOKUP(B896 ,INVENTARIO!B956:C1000,2,0),"")</f>
        <v/>
      </c>
      <c r="D896" s="71">
        <f>SUMIF(ENTRADAS!B:B,B896,ENTRADAS!D:D)</f>
        <v>0</v>
      </c>
      <c r="E896" s="71">
        <f>SUMIF(SALIDAS!B:B,B896,SALIDAS!D:D)</f>
        <v>0</v>
      </c>
      <c r="F896" s="89">
        <f t="shared" si="1"/>
        <v>0</v>
      </c>
      <c r="G896" s="90"/>
      <c r="H896" s="90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</row>
    <row r="897">
      <c r="A897" s="79"/>
      <c r="B897" s="88"/>
      <c r="C897" s="71" t="str">
        <f>IFERROR(VLOOKUP(B897 ,INVENTARIO!B957:C1000,2,0),"")</f>
        <v/>
      </c>
      <c r="D897" s="71">
        <f>SUMIF(ENTRADAS!B:B,B897,ENTRADAS!D:D)</f>
        <v>0</v>
      </c>
      <c r="E897" s="71">
        <f>SUMIF(SALIDAS!B:B,B897,SALIDAS!D:D)</f>
        <v>0</v>
      </c>
      <c r="F897" s="89">
        <f t="shared" si="1"/>
        <v>0</v>
      </c>
      <c r="G897" s="90"/>
      <c r="H897" s="90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</row>
    <row r="898">
      <c r="A898" s="79"/>
      <c r="B898" s="88"/>
      <c r="C898" s="71" t="str">
        <f>IFERROR(VLOOKUP(B898 ,INVENTARIO!B958:C1000,2,0),"")</f>
        <v/>
      </c>
      <c r="D898" s="71">
        <f>SUMIF(ENTRADAS!B:B,B898,ENTRADAS!D:D)</f>
        <v>0</v>
      </c>
      <c r="E898" s="71">
        <f>SUMIF(SALIDAS!B:B,B898,SALIDAS!D:D)</f>
        <v>0</v>
      </c>
      <c r="F898" s="89">
        <f t="shared" si="1"/>
        <v>0</v>
      </c>
      <c r="G898" s="90"/>
      <c r="H898" s="90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</row>
    <row r="899">
      <c r="A899" s="79"/>
      <c r="B899" s="88"/>
      <c r="C899" s="71" t="str">
        <f>IFERROR(VLOOKUP(B899 ,INVENTARIO!B959:C1000,2,0),"")</f>
        <v/>
      </c>
      <c r="D899" s="71">
        <f>SUMIF(ENTRADAS!B:B,B899,ENTRADAS!D:D)</f>
        <v>0</v>
      </c>
      <c r="E899" s="71">
        <f>SUMIF(SALIDAS!B:B,B899,SALIDAS!D:D)</f>
        <v>0</v>
      </c>
      <c r="F899" s="89">
        <f t="shared" si="1"/>
        <v>0</v>
      </c>
      <c r="G899" s="90"/>
      <c r="H899" s="90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</row>
    <row r="900">
      <c r="A900" s="79"/>
      <c r="B900" s="88"/>
      <c r="C900" s="71" t="str">
        <f>IFERROR(VLOOKUP(B900 ,INVENTARIO!B960:C1000,2,0),"")</f>
        <v/>
      </c>
      <c r="D900" s="71">
        <f>SUMIF(ENTRADAS!B:B,B900,ENTRADAS!D:D)</f>
        <v>0</v>
      </c>
      <c r="E900" s="71">
        <f>SUMIF(SALIDAS!B:B,B900,SALIDAS!D:D)</f>
        <v>0</v>
      </c>
      <c r="F900" s="89">
        <f t="shared" si="1"/>
        <v>0</v>
      </c>
      <c r="G900" s="90"/>
      <c r="H900" s="90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</row>
    <row r="901">
      <c r="A901" s="79"/>
      <c r="B901" s="88"/>
      <c r="C901" s="71" t="str">
        <f>IFERROR(VLOOKUP(B901 ,INVENTARIO!B961:C1000,2,0),"")</f>
        <v/>
      </c>
      <c r="D901" s="71">
        <f>SUMIF(ENTRADAS!B:B,B901,ENTRADAS!D:D)</f>
        <v>0</v>
      </c>
      <c r="E901" s="71">
        <f>SUMIF(SALIDAS!B:B,B901,SALIDAS!D:D)</f>
        <v>0</v>
      </c>
      <c r="F901" s="89">
        <f t="shared" si="1"/>
        <v>0</v>
      </c>
      <c r="G901" s="90"/>
      <c r="H901" s="90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</row>
    <row r="902">
      <c r="A902" s="79"/>
      <c r="B902" s="88"/>
      <c r="C902" s="71" t="str">
        <f>IFERROR(VLOOKUP(B902 ,INVENTARIO!B962:C1000,2,0),"")</f>
        <v/>
      </c>
      <c r="D902" s="71">
        <f>SUMIF(ENTRADAS!B:B,B902,ENTRADAS!D:D)</f>
        <v>0</v>
      </c>
      <c r="E902" s="71">
        <f>SUMIF(SALIDAS!B:B,B902,SALIDAS!D:D)</f>
        <v>0</v>
      </c>
      <c r="F902" s="89">
        <f t="shared" si="1"/>
        <v>0</v>
      </c>
      <c r="G902" s="90"/>
      <c r="H902" s="90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</row>
    <row r="903">
      <c r="A903" s="79"/>
      <c r="B903" s="88"/>
      <c r="C903" s="71" t="str">
        <f>IFERROR(VLOOKUP(B903 ,INVENTARIO!B963:C1000,2,0),"")</f>
        <v/>
      </c>
      <c r="D903" s="71">
        <f>SUMIF(ENTRADAS!B:B,B903,ENTRADAS!D:D)</f>
        <v>0</v>
      </c>
      <c r="E903" s="71">
        <f>SUMIF(SALIDAS!B:B,B903,SALIDAS!D:D)</f>
        <v>0</v>
      </c>
      <c r="F903" s="89">
        <f t="shared" si="1"/>
        <v>0</v>
      </c>
      <c r="G903" s="90"/>
      <c r="H903" s="90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</row>
    <row r="904">
      <c r="A904" s="79"/>
      <c r="B904" s="88"/>
      <c r="C904" s="71" t="str">
        <f>IFERROR(VLOOKUP(B904 ,INVENTARIO!B964:C1000,2,0),"")</f>
        <v/>
      </c>
      <c r="D904" s="71">
        <f>SUMIF(ENTRADAS!B:B,B904,ENTRADAS!D:D)</f>
        <v>0</v>
      </c>
      <c r="E904" s="71">
        <f>SUMIF(SALIDAS!B:B,B904,SALIDAS!D:D)</f>
        <v>0</v>
      </c>
      <c r="F904" s="89">
        <f t="shared" si="1"/>
        <v>0</v>
      </c>
      <c r="G904" s="90"/>
      <c r="H904" s="90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</row>
    <row r="905">
      <c r="A905" s="79"/>
      <c r="B905" s="88"/>
      <c r="C905" s="71" t="str">
        <f>IFERROR(VLOOKUP(B905 ,INVENTARIO!B965:C1000,2,0),"")</f>
        <v/>
      </c>
      <c r="D905" s="71">
        <f>SUMIF(ENTRADAS!B:B,B905,ENTRADAS!D:D)</f>
        <v>0</v>
      </c>
      <c r="E905" s="71">
        <f>SUMIF(SALIDAS!B:B,B905,SALIDAS!D:D)</f>
        <v>0</v>
      </c>
      <c r="F905" s="89">
        <f t="shared" si="1"/>
        <v>0</v>
      </c>
      <c r="G905" s="90"/>
      <c r="H905" s="90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</row>
    <row r="906">
      <c r="A906" s="79"/>
      <c r="B906" s="88"/>
      <c r="C906" s="71" t="str">
        <f>IFERROR(VLOOKUP(B906 ,INVENTARIO!B966:C1000,2,0),"")</f>
        <v/>
      </c>
      <c r="D906" s="71">
        <f>SUMIF(ENTRADAS!B:B,B906,ENTRADAS!D:D)</f>
        <v>0</v>
      </c>
      <c r="E906" s="71">
        <f>SUMIF(SALIDAS!B:B,B906,SALIDAS!D:D)</f>
        <v>0</v>
      </c>
      <c r="F906" s="89">
        <f t="shared" si="1"/>
        <v>0</v>
      </c>
      <c r="G906" s="90"/>
      <c r="H906" s="90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</row>
    <row r="907">
      <c r="A907" s="79"/>
      <c r="B907" s="88"/>
      <c r="C907" s="71" t="str">
        <f>IFERROR(VLOOKUP(B907 ,INVENTARIO!B967:C1000,2,0),"")</f>
        <v/>
      </c>
      <c r="D907" s="71">
        <f>SUMIF(ENTRADAS!B:B,B907,ENTRADAS!D:D)</f>
        <v>0</v>
      </c>
      <c r="E907" s="71">
        <f>SUMIF(SALIDAS!B:B,B907,SALIDAS!D:D)</f>
        <v>0</v>
      </c>
      <c r="F907" s="89">
        <f t="shared" si="1"/>
        <v>0</v>
      </c>
      <c r="G907" s="90"/>
      <c r="H907" s="90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</row>
    <row r="908">
      <c r="A908" s="79"/>
      <c r="B908" s="88"/>
      <c r="C908" s="71" t="str">
        <f>IFERROR(VLOOKUP(B908 ,INVENTARIO!B968:C1000,2,0),"")</f>
        <v/>
      </c>
      <c r="D908" s="71">
        <f>SUMIF(ENTRADAS!B:B,B908,ENTRADAS!D:D)</f>
        <v>0</v>
      </c>
      <c r="E908" s="71">
        <f>SUMIF(SALIDAS!B:B,B908,SALIDAS!D:D)</f>
        <v>0</v>
      </c>
      <c r="F908" s="89">
        <f t="shared" si="1"/>
        <v>0</v>
      </c>
      <c r="G908" s="90"/>
      <c r="H908" s="90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</row>
    <row r="909">
      <c r="A909" s="79"/>
      <c r="B909" s="88"/>
      <c r="C909" s="71" t="str">
        <f>IFERROR(VLOOKUP(B909 ,INVENTARIO!B969:C1000,2,0),"")</f>
        <v/>
      </c>
      <c r="D909" s="71">
        <f>SUMIF(ENTRADAS!B:B,B909,ENTRADAS!D:D)</f>
        <v>0</v>
      </c>
      <c r="E909" s="71">
        <f>SUMIF(SALIDAS!B:B,B909,SALIDAS!D:D)</f>
        <v>0</v>
      </c>
      <c r="F909" s="89">
        <f t="shared" si="1"/>
        <v>0</v>
      </c>
      <c r="G909" s="90"/>
      <c r="H909" s="90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</row>
    <row r="910">
      <c r="A910" s="79"/>
      <c r="B910" s="88"/>
      <c r="C910" s="71" t="str">
        <f>IFERROR(VLOOKUP(B910 ,INVENTARIO!B970:C1000,2,0),"")</f>
        <v/>
      </c>
      <c r="D910" s="71">
        <f>SUMIF(ENTRADAS!B:B,B910,ENTRADAS!D:D)</f>
        <v>0</v>
      </c>
      <c r="E910" s="71">
        <f>SUMIF(SALIDAS!B:B,B910,SALIDAS!D:D)</f>
        <v>0</v>
      </c>
      <c r="F910" s="89">
        <f t="shared" si="1"/>
        <v>0</v>
      </c>
      <c r="G910" s="90"/>
      <c r="H910" s="90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</row>
    <row r="911">
      <c r="A911" s="79"/>
      <c r="B911" s="88"/>
      <c r="C911" s="71" t="str">
        <f>IFERROR(VLOOKUP(B911 ,INVENTARIO!B971:C1000,2,0),"")</f>
        <v/>
      </c>
      <c r="D911" s="71">
        <f>SUMIF(ENTRADAS!B:B,B911,ENTRADAS!D:D)</f>
        <v>0</v>
      </c>
      <c r="E911" s="71">
        <f>SUMIF(SALIDAS!B:B,B911,SALIDAS!D:D)</f>
        <v>0</v>
      </c>
      <c r="F911" s="89">
        <f t="shared" si="1"/>
        <v>0</v>
      </c>
      <c r="G911" s="90"/>
      <c r="H911" s="90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</row>
    <row r="912">
      <c r="A912" s="79"/>
      <c r="B912" s="88"/>
      <c r="C912" s="71" t="str">
        <f>IFERROR(VLOOKUP(B912 ,INVENTARIO!B972:C1000,2,0),"")</f>
        <v/>
      </c>
      <c r="D912" s="71">
        <f>SUMIF(ENTRADAS!B:B,B912,ENTRADAS!D:D)</f>
        <v>0</v>
      </c>
      <c r="E912" s="71">
        <f>SUMIF(SALIDAS!B:B,B912,SALIDAS!D:D)</f>
        <v>0</v>
      </c>
      <c r="F912" s="89">
        <f t="shared" si="1"/>
        <v>0</v>
      </c>
      <c r="G912" s="90"/>
      <c r="H912" s="90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</row>
    <row r="913">
      <c r="A913" s="79"/>
      <c r="B913" s="88"/>
      <c r="C913" s="71" t="str">
        <f>IFERROR(VLOOKUP(B913 ,INVENTARIO!B973:C1000,2,0),"")</f>
        <v/>
      </c>
      <c r="D913" s="71">
        <f>SUMIF(ENTRADAS!B:B,B913,ENTRADAS!D:D)</f>
        <v>0</v>
      </c>
      <c r="E913" s="71">
        <f>SUMIF(SALIDAS!B:B,B913,SALIDAS!D:D)</f>
        <v>0</v>
      </c>
      <c r="F913" s="89">
        <f t="shared" si="1"/>
        <v>0</v>
      </c>
      <c r="G913" s="90"/>
      <c r="H913" s="90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</row>
    <row r="914">
      <c r="A914" s="79"/>
      <c r="B914" s="88"/>
      <c r="C914" s="71" t="str">
        <f>IFERROR(VLOOKUP(B914 ,INVENTARIO!B974:C1000,2,0),"")</f>
        <v/>
      </c>
      <c r="D914" s="71">
        <f>SUMIF(ENTRADAS!B:B,B914,ENTRADAS!D:D)</f>
        <v>0</v>
      </c>
      <c r="E914" s="71">
        <f>SUMIF(SALIDAS!B:B,B914,SALIDAS!D:D)</f>
        <v>0</v>
      </c>
      <c r="F914" s="89">
        <f t="shared" si="1"/>
        <v>0</v>
      </c>
      <c r="G914" s="90"/>
      <c r="H914" s="90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</row>
    <row r="915">
      <c r="A915" s="79"/>
      <c r="B915" s="88"/>
      <c r="C915" s="71" t="str">
        <f>IFERROR(VLOOKUP(B915 ,INVENTARIO!B975:C1000,2,0),"")</f>
        <v/>
      </c>
      <c r="D915" s="71">
        <f>SUMIF(ENTRADAS!B:B,B915,ENTRADAS!D:D)</f>
        <v>0</v>
      </c>
      <c r="E915" s="71">
        <f>SUMIF(SALIDAS!B:B,B915,SALIDAS!D:D)</f>
        <v>0</v>
      </c>
      <c r="F915" s="89">
        <f t="shared" si="1"/>
        <v>0</v>
      </c>
      <c r="G915" s="90"/>
      <c r="H915" s="90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</row>
    <row r="916">
      <c r="A916" s="79"/>
      <c r="B916" s="88"/>
      <c r="C916" s="71" t="str">
        <f>IFERROR(VLOOKUP(B916 ,INVENTARIO!B976:C1000,2,0),"")</f>
        <v/>
      </c>
      <c r="D916" s="71">
        <f>SUMIF(ENTRADAS!B:B,B916,ENTRADAS!D:D)</f>
        <v>0</v>
      </c>
      <c r="E916" s="71">
        <f>SUMIF(SALIDAS!B:B,B916,SALIDAS!D:D)</f>
        <v>0</v>
      </c>
      <c r="F916" s="89">
        <f t="shared" si="1"/>
        <v>0</v>
      </c>
      <c r="G916" s="90"/>
      <c r="H916" s="90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</row>
    <row r="917">
      <c r="A917" s="79"/>
      <c r="B917" s="88"/>
      <c r="C917" s="71" t="str">
        <f>IFERROR(VLOOKUP(B917 ,INVENTARIO!B977:C1000,2,0),"")</f>
        <v/>
      </c>
      <c r="D917" s="71">
        <f>SUMIF(ENTRADAS!B:B,B917,ENTRADAS!D:D)</f>
        <v>0</v>
      </c>
      <c r="E917" s="71">
        <f>SUMIF(SALIDAS!B:B,B917,SALIDAS!D:D)</f>
        <v>0</v>
      </c>
      <c r="F917" s="89">
        <f t="shared" si="1"/>
        <v>0</v>
      </c>
      <c r="G917" s="90"/>
      <c r="H917" s="90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</row>
    <row r="918">
      <c r="A918" s="79"/>
      <c r="B918" s="88"/>
      <c r="C918" s="71" t="str">
        <f>IFERROR(VLOOKUP(B918 ,INVENTARIO!B978:C1000,2,0),"")</f>
        <v/>
      </c>
      <c r="D918" s="71">
        <f>SUMIF(ENTRADAS!B:B,B918,ENTRADAS!D:D)</f>
        <v>0</v>
      </c>
      <c r="E918" s="71">
        <f>SUMIF(SALIDAS!B:B,B918,SALIDAS!D:D)</f>
        <v>0</v>
      </c>
      <c r="F918" s="89">
        <f t="shared" si="1"/>
        <v>0</v>
      </c>
      <c r="G918" s="90"/>
      <c r="H918" s="90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</row>
    <row r="919">
      <c r="A919" s="79"/>
      <c r="B919" s="88"/>
      <c r="C919" s="71" t="str">
        <f>IFERROR(VLOOKUP(B919 ,INVENTARIO!B979:C1000,2,0),"")</f>
        <v/>
      </c>
      <c r="D919" s="71">
        <f>SUMIF(ENTRADAS!B:B,B919,ENTRADAS!D:D)</f>
        <v>0</v>
      </c>
      <c r="E919" s="71">
        <f>SUMIF(SALIDAS!B:B,B919,SALIDAS!D:D)</f>
        <v>0</v>
      </c>
      <c r="F919" s="89">
        <f t="shared" si="1"/>
        <v>0</v>
      </c>
      <c r="G919" s="90"/>
      <c r="H919" s="90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</row>
    <row r="920">
      <c r="A920" s="79"/>
      <c r="B920" s="88"/>
      <c r="C920" s="71" t="str">
        <f>IFERROR(VLOOKUP(B920 ,INVENTARIO!B980:C1000,2,0),"")</f>
        <v/>
      </c>
      <c r="D920" s="71">
        <f>SUMIF(ENTRADAS!B:B,B920,ENTRADAS!D:D)</f>
        <v>0</v>
      </c>
      <c r="E920" s="71">
        <f>SUMIF(SALIDAS!B:B,B920,SALIDAS!D:D)</f>
        <v>0</v>
      </c>
      <c r="F920" s="89">
        <f t="shared" si="1"/>
        <v>0</v>
      </c>
      <c r="G920" s="90"/>
      <c r="H920" s="90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</row>
    <row r="921">
      <c r="A921" s="79"/>
      <c r="B921" s="88"/>
      <c r="C921" s="71" t="str">
        <f>IFERROR(VLOOKUP(B921 ,INVENTARIO!B981:C1000,2,0),"")</f>
        <v/>
      </c>
      <c r="D921" s="71">
        <f>SUMIF(ENTRADAS!B:B,B921,ENTRADAS!D:D)</f>
        <v>0</v>
      </c>
      <c r="E921" s="71">
        <f>SUMIF(SALIDAS!B:B,B921,SALIDAS!D:D)</f>
        <v>0</v>
      </c>
      <c r="F921" s="89">
        <f t="shared" si="1"/>
        <v>0</v>
      </c>
      <c r="G921" s="90"/>
      <c r="H921" s="90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</row>
    <row r="922">
      <c r="A922" s="79"/>
      <c r="B922" s="88"/>
      <c r="C922" s="71" t="str">
        <f>IFERROR(VLOOKUP(B922 ,INVENTARIO!B982:C1000,2,0),"")</f>
        <v/>
      </c>
      <c r="D922" s="71">
        <f>SUMIF(ENTRADAS!B:B,B922,ENTRADAS!D:D)</f>
        <v>0</v>
      </c>
      <c r="E922" s="71">
        <f>SUMIF(SALIDAS!B:B,B922,SALIDAS!D:D)</f>
        <v>0</v>
      </c>
      <c r="F922" s="89">
        <f t="shared" si="1"/>
        <v>0</v>
      </c>
      <c r="G922" s="90"/>
      <c r="H922" s="90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</row>
    <row r="923">
      <c r="A923" s="79"/>
      <c r="B923" s="88"/>
      <c r="C923" s="71" t="str">
        <f>IFERROR(VLOOKUP(B923 ,INVENTARIO!B983:C1000,2,0),"")</f>
        <v/>
      </c>
      <c r="D923" s="71">
        <f>SUMIF(ENTRADAS!B:B,B923,ENTRADAS!D:D)</f>
        <v>0</v>
      </c>
      <c r="E923" s="71">
        <f>SUMIF(SALIDAS!B:B,B923,SALIDAS!D:D)</f>
        <v>0</v>
      </c>
      <c r="F923" s="89">
        <f t="shared" si="1"/>
        <v>0</v>
      </c>
      <c r="G923" s="90"/>
      <c r="H923" s="90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</row>
    <row r="924">
      <c r="A924" s="79"/>
      <c r="B924" s="88"/>
      <c r="C924" s="71" t="str">
        <f>IFERROR(VLOOKUP(B924 ,INVENTARIO!B984:C1000,2,0),"")</f>
        <v/>
      </c>
      <c r="D924" s="71">
        <f>SUMIF(ENTRADAS!B:B,B924,ENTRADAS!D:D)</f>
        <v>0</v>
      </c>
      <c r="E924" s="71">
        <f>SUMIF(SALIDAS!B:B,B924,SALIDAS!D:D)</f>
        <v>0</v>
      </c>
      <c r="F924" s="89">
        <f t="shared" si="1"/>
        <v>0</v>
      </c>
      <c r="G924" s="90"/>
      <c r="H924" s="90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</row>
    <row r="925">
      <c r="A925" s="79"/>
      <c r="B925" s="88"/>
      <c r="C925" s="71" t="str">
        <f>IFERROR(VLOOKUP(B925 ,INVENTARIO!B985:C1000,2,0),"")</f>
        <v/>
      </c>
      <c r="D925" s="71">
        <f>SUMIF(ENTRADAS!B:B,B925,ENTRADAS!D:D)</f>
        <v>0</v>
      </c>
      <c r="E925" s="71">
        <f>SUMIF(SALIDAS!B:B,B925,SALIDAS!D:D)</f>
        <v>0</v>
      </c>
      <c r="F925" s="89">
        <f t="shared" si="1"/>
        <v>0</v>
      </c>
      <c r="G925" s="90"/>
      <c r="H925" s="90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</row>
    <row r="926">
      <c r="A926" s="79"/>
      <c r="B926" s="88"/>
      <c r="C926" s="71" t="str">
        <f>IFERROR(VLOOKUP(B926 ,INVENTARIO!B986:C1000,2,0),"")</f>
        <v/>
      </c>
      <c r="D926" s="71">
        <f>SUMIF(ENTRADAS!B:B,B926,ENTRADAS!D:D)</f>
        <v>0</v>
      </c>
      <c r="E926" s="71">
        <f>SUMIF(SALIDAS!B:B,B926,SALIDAS!D:D)</f>
        <v>0</v>
      </c>
      <c r="F926" s="89">
        <f t="shared" si="1"/>
        <v>0</v>
      </c>
      <c r="G926" s="90"/>
      <c r="H926" s="90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</row>
    <row r="927">
      <c r="A927" s="79"/>
      <c r="B927" s="88"/>
      <c r="C927" s="71" t="str">
        <f>IFERROR(VLOOKUP(B927 ,INVENTARIO!B987:C1000,2,0),"")</f>
        <v/>
      </c>
      <c r="D927" s="71">
        <f>SUMIF(ENTRADAS!B:B,B927,ENTRADAS!D:D)</f>
        <v>0</v>
      </c>
      <c r="E927" s="71">
        <f>SUMIF(SALIDAS!B:B,B927,SALIDAS!D:D)</f>
        <v>0</v>
      </c>
      <c r="F927" s="89">
        <f t="shared" si="1"/>
        <v>0</v>
      </c>
      <c r="G927" s="90"/>
      <c r="H927" s="90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</row>
    <row r="928">
      <c r="A928" s="79"/>
      <c r="B928" s="88"/>
      <c r="C928" s="71" t="str">
        <f>IFERROR(VLOOKUP(B928 ,INVENTARIO!B988:C1000,2,0),"")</f>
        <v/>
      </c>
      <c r="D928" s="71">
        <f>SUMIF(ENTRADAS!B:B,B928,ENTRADAS!D:D)</f>
        <v>0</v>
      </c>
      <c r="E928" s="71">
        <f>SUMIF(SALIDAS!B:B,B928,SALIDAS!D:D)</f>
        <v>0</v>
      </c>
      <c r="F928" s="89">
        <f t="shared" si="1"/>
        <v>0</v>
      </c>
      <c r="G928" s="90"/>
      <c r="H928" s="90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</row>
    <row r="929">
      <c r="A929" s="79"/>
      <c r="B929" s="88"/>
      <c r="C929" s="71" t="str">
        <f>IFERROR(VLOOKUP(B929 ,INVENTARIO!B989:C1000,2,0),"")</f>
        <v/>
      </c>
      <c r="D929" s="71">
        <f>SUMIF(ENTRADAS!B:B,B929,ENTRADAS!D:D)</f>
        <v>0</v>
      </c>
      <c r="E929" s="71">
        <f>SUMIF(SALIDAS!B:B,B929,SALIDAS!D:D)</f>
        <v>0</v>
      </c>
      <c r="F929" s="89">
        <f t="shared" si="1"/>
        <v>0</v>
      </c>
      <c r="G929" s="90"/>
      <c r="H929" s="90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</row>
    <row r="930">
      <c r="A930" s="79"/>
      <c r="B930" s="88"/>
      <c r="C930" s="71" t="str">
        <f>IFERROR(VLOOKUP(B930 ,INVENTARIO!B990:C1000,2,0),"")</f>
        <v/>
      </c>
      <c r="D930" s="71">
        <f>SUMIF(ENTRADAS!B:B,B930,ENTRADAS!D:D)</f>
        <v>0</v>
      </c>
      <c r="E930" s="71">
        <f>SUMIF(SALIDAS!B:B,B930,SALIDAS!D:D)</f>
        <v>0</v>
      </c>
      <c r="F930" s="89">
        <f t="shared" si="1"/>
        <v>0</v>
      </c>
      <c r="G930" s="90"/>
      <c r="H930" s="90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</row>
    <row r="931">
      <c r="A931" s="79"/>
      <c r="B931" s="88"/>
      <c r="C931" s="71" t="str">
        <f>IFERROR(VLOOKUP(B931 ,INVENTARIO!B991:C1000,2,0),"")</f>
        <v/>
      </c>
      <c r="D931" s="71">
        <f>SUMIF(ENTRADAS!B:B,B931,ENTRADAS!D:D)</f>
        <v>0</v>
      </c>
      <c r="E931" s="71">
        <f>SUMIF(SALIDAS!B:B,B931,SALIDAS!D:D)</f>
        <v>0</v>
      </c>
      <c r="F931" s="89">
        <f t="shared" si="1"/>
        <v>0</v>
      </c>
      <c r="G931" s="90"/>
      <c r="H931" s="90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</row>
    <row r="932">
      <c r="A932" s="79"/>
      <c r="B932" s="88"/>
      <c r="C932" s="71" t="str">
        <f>IFERROR(VLOOKUP(B932 ,INVENTARIO!B992:C1000,2,0),"")</f>
        <v/>
      </c>
      <c r="D932" s="71">
        <f>SUMIF(ENTRADAS!B:B,B932,ENTRADAS!D:D)</f>
        <v>0</v>
      </c>
      <c r="E932" s="71">
        <f>SUMIF(SALIDAS!B:B,B932,SALIDAS!D:D)</f>
        <v>0</v>
      </c>
      <c r="F932" s="89">
        <f t="shared" si="1"/>
        <v>0</v>
      </c>
      <c r="G932" s="90"/>
      <c r="H932" s="90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</row>
    <row r="933">
      <c r="A933" s="79"/>
      <c r="B933" s="88"/>
      <c r="C933" s="71" t="str">
        <f>IFERROR(VLOOKUP(B933 ,INVENTARIO!B993:C1000,2,0),"")</f>
        <v/>
      </c>
      <c r="D933" s="71">
        <f>SUMIF(ENTRADAS!B:B,B933,ENTRADAS!D:D)</f>
        <v>0</v>
      </c>
      <c r="E933" s="71">
        <f>SUMIF(SALIDAS!B:B,B933,SALIDAS!D:D)</f>
        <v>0</v>
      </c>
      <c r="F933" s="89">
        <f t="shared" si="1"/>
        <v>0</v>
      </c>
      <c r="G933" s="90"/>
      <c r="H933" s="90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</row>
    <row r="934">
      <c r="A934" s="79"/>
      <c r="B934" s="88"/>
      <c r="C934" s="71" t="str">
        <f>IFERROR(VLOOKUP(B934 ,INVENTARIO!B994:C1000,2,0),"")</f>
        <v/>
      </c>
      <c r="D934" s="71">
        <f>SUMIF(ENTRADAS!B:B,B934,ENTRADAS!D:D)</f>
        <v>0</v>
      </c>
      <c r="E934" s="71">
        <f>SUMIF(SALIDAS!B:B,B934,SALIDAS!D:D)</f>
        <v>0</v>
      </c>
      <c r="F934" s="89">
        <f t="shared" si="1"/>
        <v>0</v>
      </c>
      <c r="G934" s="90"/>
      <c r="H934" s="90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</row>
    <row r="935">
      <c r="A935" s="79"/>
      <c r="B935" s="88"/>
      <c r="C935" s="71" t="str">
        <f>IFERROR(VLOOKUP(B935 ,INVENTARIO!B995:C1000,2,0),"")</f>
        <v/>
      </c>
      <c r="D935" s="71">
        <f>SUMIF(ENTRADAS!B:B,B935,ENTRADAS!D:D)</f>
        <v>0</v>
      </c>
      <c r="E935" s="71">
        <f>SUMIF(SALIDAS!B:B,B935,SALIDAS!D:D)</f>
        <v>0</v>
      </c>
      <c r="F935" s="89">
        <f t="shared" si="1"/>
        <v>0</v>
      </c>
      <c r="G935" s="90"/>
      <c r="H935" s="90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</row>
    <row r="936">
      <c r="A936" s="79"/>
      <c r="B936" s="88"/>
      <c r="C936" s="71" t="str">
        <f>IFERROR(VLOOKUP(B936 ,INVENTARIO!B996:C1000,2,0),"")</f>
        <v/>
      </c>
      <c r="D936" s="71">
        <f>SUMIF(ENTRADAS!B:B,B936,ENTRADAS!D:D)</f>
        <v>0</v>
      </c>
      <c r="E936" s="71">
        <f>SUMIF(SALIDAS!B:B,B936,SALIDAS!D:D)</f>
        <v>0</v>
      </c>
      <c r="F936" s="89">
        <f t="shared" si="1"/>
        <v>0</v>
      </c>
      <c r="G936" s="90"/>
      <c r="H936" s="90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</row>
    <row r="937">
      <c r="A937" s="79"/>
      <c r="B937" s="88"/>
      <c r="C937" s="71" t="str">
        <f>IFERROR(VLOOKUP(B937 ,INVENTARIO!B997:C1000,2,0),"")</f>
        <v/>
      </c>
      <c r="D937" s="71">
        <f>SUMIF(ENTRADAS!B:B,B937,ENTRADAS!D:D)</f>
        <v>0</v>
      </c>
      <c r="E937" s="71">
        <f>SUMIF(SALIDAS!B:B,B937,SALIDAS!D:D)</f>
        <v>0</v>
      </c>
      <c r="F937" s="89">
        <f t="shared" si="1"/>
        <v>0</v>
      </c>
      <c r="G937" s="90"/>
      <c r="H937" s="90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</row>
    <row r="938">
      <c r="A938" s="79"/>
      <c r="B938" s="88"/>
      <c r="C938" s="71" t="str">
        <f>IFERROR(VLOOKUP(B938 ,INVENTARIO!B998:C1000,2,0),"")</f>
        <v/>
      </c>
      <c r="D938" s="71">
        <f>SUMIF(ENTRADAS!B:B,B938,ENTRADAS!D:D)</f>
        <v>0</v>
      </c>
      <c r="E938" s="71">
        <f>SUMIF(SALIDAS!B:B,B938,SALIDAS!D:D)</f>
        <v>0</v>
      </c>
      <c r="F938" s="89">
        <f t="shared" si="1"/>
        <v>0</v>
      </c>
      <c r="G938" s="90"/>
      <c r="H938" s="90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</row>
    <row r="939">
      <c r="A939" s="79"/>
      <c r="B939" s="88"/>
      <c r="C939" s="71" t="str">
        <f>IFERROR(VLOOKUP(B939 ,INVENTARIO!B999:C1000,2,0),"")</f>
        <v/>
      </c>
      <c r="D939" s="71">
        <f>SUMIF(ENTRADAS!B:B,B939,ENTRADAS!D:D)</f>
        <v>0</v>
      </c>
      <c r="E939" s="71">
        <f>SUMIF(SALIDAS!B:B,B939,SALIDAS!D:D)</f>
        <v>0</v>
      </c>
      <c r="F939" s="89">
        <f t="shared" si="1"/>
        <v>0</v>
      </c>
      <c r="G939" s="90"/>
      <c r="H939" s="90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</row>
    <row r="940">
      <c r="A940" s="79"/>
      <c r="B940" s="88"/>
      <c r="C940" s="71" t="str">
        <f>IFERROR(VLOOKUP(B940 ,INVENTARIO!B1000:C1000,2,0),"")</f>
        <v/>
      </c>
      <c r="D940" s="71">
        <f>SUMIF(ENTRADAS!B:B,B940,ENTRADAS!D:D)</f>
        <v>0</v>
      </c>
      <c r="E940" s="71">
        <f>SUMIF(SALIDAS!B:B,B940,SALIDAS!D:D)</f>
        <v>0</v>
      </c>
      <c r="F940" s="89">
        <f t="shared" si="1"/>
        <v>0</v>
      </c>
      <c r="G940" s="90"/>
      <c r="H940" s="90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</row>
    <row r="941">
      <c r="A941" s="79"/>
      <c r="B941" s="88"/>
      <c r="C941" s="71" t="str">
        <f>IFERROR(VLOOKUP(B941 ,#REF!,2,0),"")</f>
        <v/>
      </c>
      <c r="D941" s="71">
        <f>SUMIF(ENTRADAS!B:B,B941,ENTRADAS!D:D)</f>
        <v>0</v>
      </c>
      <c r="E941" s="71">
        <f>SUMIF(SALIDAS!B:B,B941,SALIDAS!D:D)</f>
        <v>0</v>
      </c>
      <c r="F941" s="89">
        <f t="shared" si="1"/>
        <v>0</v>
      </c>
      <c r="G941" s="90"/>
      <c r="H941" s="90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</row>
    <row r="942">
      <c r="A942" s="79"/>
      <c r="B942" s="88"/>
      <c r="C942" s="71" t="str">
        <f>IFERROR(VLOOKUP(B942 ,INVENTARIO!B1000:C1002,2,0),"")</f>
        <v/>
      </c>
      <c r="D942" s="71">
        <f>SUMIF(ENTRADAS!B:B,B942,ENTRADAS!D:D)</f>
        <v>0</v>
      </c>
      <c r="E942" s="71">
        <f>SUMIF(SALIDAS!B:B,B942,SALIDAS!D:D)</f>
        <v>0</v>
      </c>
      <c r="F942" s="89">
        <f t="shared" si="1"/>
        <v>0</v>
      </c>
      <c r="G942" s="90"/>
      <c r="H942" s="90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</row>
    <row r="943">
      <c r="A943" s="79"/>
      <c r="B943" s="88"/>
      <c r="C943" s="71" t="str">
        <f>IFERROR(VLOOKUP(B943 ,INVENTARIO!B1000:C1003,2,0),"")</f>
        <v/>
      </c>
      <c r="D943" s="71">
        <f>SUMIF(ENTRADAS!B:B,B943,ENTRADAS!D:D)</f>
        <v>0</v>
      </c>
      <c r="E943" s="71">
        <f>SUMIF(SALIDAS!B:B,B943,SALIDAS!D:D)</f>
        <v>0</v>
      </c>
      <c r="F943" s="89">
        <f t="shared" si="1"/>
        <v>0</v>
      </c>
      <c r="G943" s="90"/>
      <c r="H943" s="90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</row>
    <row r="944">
      <c r="A944" s="79"/>
      <c r="B944" s="88"/>
      <c r="C944" s="71" t="str">
        <f>IFERROR(VLOOKUP(B944 ,INVENTARIO!B1000:C1004,2,0),"")</f>
        <v/>
      </c>
      <c r="D944" s="71">
        <f>SUMIF(ENTRADAS!B:B,B944,ENTRADAS!D:D)</f>
        <v>0</v>
      </c>
      <c r="E944" s="71">
        <f>SUMIF(SALIDAS!B:B,B944,SALIDAS!D:D)</f>
        <v>0</v>
      </c>
      <c r="F944" s="89">
        <f t="shared" si="1"/>
        <v>0</v>
      </c>
      <c r="G944" s="90"/>
      <c r="H944" s="90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</row>
    <row r="945">
      <c r="A945" s="79"/>
      <c r="B945" s="88"/>
      <c r="C945" s="71" t="str">
        <f>IFERROR(VLOOKUP(B945 ,INVENTARIO!B1000:C1005,2,0),"")</f>
        <v/>
      </c>
      <c r="D945" s="71">
        <f>SUMIF(ENTRADAS!B:B,B945,ENTRADAS!D:D)</f>
        <v>0</v>
      </c>
      <c r="E945" s="71">
        <f>SUMIF(SALIDAS!B:B,B945,SALIDAS!D:D)</f>
        <v>0</v>
      </c>
      <c r="F945" s="89">
        <f t="shared" si="1"/>
        <v>0</v>
      </c>
      <c r="G945" s="90"/>
      <c r="H945" s="90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</row>
    <row r="946">
      <c r="A946" s="79"/>
      <c r="B946" s="88"/>
      <c r="C946" s="71" t="str">
        <f>IFERROR(VLOOKUP(B946 ,INVENTARIO!B1000:C1006,2,0),"")</f>
        <v/>
      </c>
      <c r="D946" s="71">
        <f>SUMIF(ENTRADAS!B:B,B946,ENTRADAS!D:D)</f>
        <v>0</v>
      </c>
      <c r="E946" s="71">
        <f>SUMIF(SALIDAS!B:B,B946,SALIDAS!D:D)</f>
        <v>0</v>
      </c>
      <c r="F946" s="89">
        <f t="shared" si="1"/>
        <v>0</v>
      </c>
      <c r="G946" s="90"/>
      <c r="H946" s="90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</row>
    <row r="947">
      <c r="A947" s="79"/>
      <c r="B947" s="88"/>
      <c r="C947" s="71" t="str">
        <f>IFERROR(VLOOKUP(B947 ,INVENTARIO!B1000:C1007,2,0),"")</f>
        <v/>
      </c>
      <c r="D947" s="71">
        <f>SUMIF(ENTRADAS!B:B,B947,ENTRADAS!D:D)</f>
        <v>0</v>
      </c>
      <c r="E947" s="71">
        <f>SUMIF(SALIDAS!B:B,B947,SALIDAS!D:D)</f>
        <v>0</v>
      </c>
      <c r="F947" s="89">
        <f t="shared" si="1"/>
        <v>0</v>
      </c>
      <c r="G947" s="90"/>
      <c r="H947" s="90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</row>
    <row r="948">
      <c r="A948" s="79"/>
      <c r="B948" s="88"/>
      <c r="C948" s="71" t="str">
        <f>IFERROR(VLOOKUP(B948 ,INVENTARIO!B1000:C1008,2,0),"")</f>
        <v/>
      </c>
      <c r="D948" s="71">
        <f>SUMIF(ENTRADAS!B:B,B948,ENTRADAS!D:D)</f>
        <v>0</v>
      </c>
      <c r="E948" s="71">
        <f>SUMIF(SALIDAS!B:B,B948,SALIDAS!D:D)</f>
        <v>0</v>
      </c>
      <c r="F948" s="89">
        <f t="shared" si="1"/>
        <v>0</v>
      </c>
      <c r="G948" s="90"/>
      <c r="H948" s="90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</row>
    <row r="949">
      <c r="A949" s="79"/>
      <c r="B949" s="88"/>
      <c r="C949" s="71" t="str">
        <f>IFERROR(VLOOKUP(B949 ,INVENTARIO!B1000:C1009,2,0),"")</f>
        <v/>
      </c>
      <c r="D949" s="71">
        <f>SUMIF(ENTRADAS!B:B,B949,ENTRADAS!D:D)</f>
        <v>0</v>
      </c>
      <c r="E949" s="71">
        <f>SUMIF(SALIDAS!B:B,B949,SALIDAS!D:D)</f>
        <v>0</v>
      </c>
      <c r="F949" s="89">
        <f t="shared" si="1"/>
        <v>0</v>
      </c>
      <c r="G949" s="90"/>
      <c r="H949" s="90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</row>
    <row r="950">
      <c r="A950" s="79"/>
      <c r="B950" s="88"/>
      <c r="C950" s="71" t="str">
        <f>IFERROR(VLOOKUP(B950 ,INVENTARIO!B1000:C1010,2,0),"")</f>
        <v/>
      </c>
      <c r="D950" s="71">
        <f>SUMIF(ENTRADAS!B:B,B950,ENTRADAS!D:D)</f>
        <v>0</v>
      </c>
      <c r="E950" s="71">
        <f>SUMIF(SALIDAS!B:B,B950,SALIDAS!D:D)</f>
        <v>0</v>
      </c>
      <c r="F950" s="89">
        <f t="shared" si="1"/>
        <v>0</v>
      </c>
      <c r="G950" s="90"/>
      <c r="H950" s="90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</row>
    <row r="951">
      <c r="A951" s="79"/>
      <c r="B951" s="88"/>
      <c r="C951" s="71" t="str">
        <f>IFERROR(VLOOKUP(B951 ,INVENTARIO!B1000:C1011,2,0),"")</f>
        <v/>
      </c>
      <c r="D951" s="71">
        <f>SUMIF(ENTRADAS!B:B,B951,ENTRADAS!D:D)</f>
        <v>0</v>
      </c>
      <c r="E951" s="71">
        <f>SUMIF(SALIDAS!B:B,B951,SALIDAS!D:D)</f>
        <v>0</v>
      </c>
      <c r="F951" s="89">
        <f t="shared" si="1"/>
        <v>0</v>
      </c>
      <c r="G951" s="90"/>
      <c r="H951" s="90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</row>
    <row r="952">
      <c r="A952" s="79"/>
      <c r="B952" s="88"/>
      <c r="C952" s="71" t="str">
        <f>IFERROR(VLOOKUP(B952 ,INVENTARIO!B1000:C1012,2,0),"")</f>
        <v/>
      </c>
      <c r="D952" s="71">
        <f>SUMIF(ENTRADAS!B:B,B952,ENTRADAS!D:D)</f>
        <v>0</v>
      </c>
      <c r="E952" s="71">
        <f>SUMIF(SALIDAS!B:B,B952,SALIDAS!D:D)</f>
        <v>0</v>
      </c>
      <c r="F952" s="89">
        <f t="shared" si="1"/>
        <v>0</v>
      </c>
      <c r="G952" s="90"/>
      <c r="H952" s="90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</row>
    <row r="953">
      <c r="A953" s="79"/>
      <c r="B953" s="88"/>
      <c r="C953" s="71" t="str">
        <f>IFERROR(VLOOKUP(B953 ,INVENTARIO!B1000:C1013,2,0),"")</f>
        <v/>
      </c>
      <c r="D953" s="71">
        <f>SUMIF(ENTRADAS!B:B,B953,ENTRADAS!D:D)</f>
        <v>0</v>
      </c>
      <c r="E953" s="71">
        <f>SUMIF(SALIDAS!B:B,B953,SALIDAS!D:D)</f>
        <v>0</v>
      </c>
      <c r="F953" s="89">
        <f t="shared" si="1"/>
        <v>0</v>
      </c>
      <c r="G953" s="90"/>
      <c r="H953" s="90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</row>
    <row r="954">
      <c r="A954" s="79"/>
      <c r="B954" s="88"/>
      <c r="C954" s="71" t="str">
        <f>IFERROR(VLOOKUP(B954 ,INVENTARIO!B1000:C1014,2,0),"")</f>
        <v/>
      </c>
      <c r="D954" s="71">
        <f>SUMIF(ENTRADAS!B:B,B954,ENTRADAS!D:D)</f>
        <v>0</v>
      </c>
      <c r="E954" s="71">
        <f>SUMIF(SALIDAS!B:B,B954,SALIDAS!D:D)</f>
        <v>0</v>
      </c>
      <c r="F954" s="89">
        <f t="shared" si="1"/>
        <v>0</v>
      </c>
      <c r="G954" s="90"/>
      <c r="H954" s="90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</row>
    <row r="955">
      <c r="A955" s="79"/>
      <c r="B955" s="88"/>
      <c r="C955" s="71" t="str">
        <f>IFERROR(VLOOKUP(B955 ,INVENTARIO!B1000:C1015,2,0),"")</f>
        <v/>
      </c>
      <c r="D955" s="71">
        <f>SUMIF(ENTRADAS!B:B,B955,ENTRADAS!D:D)</f>
        <v>0</v>
      </c>
      <c r="E955" s="71">
        <f>SUMIF(SALIDAS!B:B,B955,SALIDAS!D:D)</f>
        <v>0</v>
      </c>
      <c r="F955" s="89">
        <f t="shared" si="1"/>
        <v>0</v>
      </c>
      <c r="G955" s="90"/>
      <c r="H955" s="90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</row>
    <row r="956">
      <c r="A956" s="79"/>
      <c r="B956" s="88"/>
      <c r="C956" s="71" t="str">
        <f>IFERROR(VLOOKUP(B956 ,INVENTARIO!B1000:C1016,2,0),"")</f>
        <v/>
      </c>
      <c r="D956" s="71">
        <f>SUMIF(ENTRADAS!B:B,B956,ENTRADAS!D:D)</f>
        <v>0</v>
      </c>
      <c r="E956" s="71">
        <f>SUMIF(SALIDAS!B:B,B956,SALIDAS!D:D)</f>
        <v>0</v>
      </c>
      <c r="F956" s="89">
        <f t="shared" si="1"/>
        <v>0</v>
      </c>
      <c r="G956" s="90"/>
      <c r="H956" s="90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</row>
    <row r="957">
      <c r="A957" s="79"/>
      <c r="B957" s="88"/>
      <c r="C957" s="71" t="str">
        <f>IFERROR(VLOOKUP(B957 ,INVENTARIO!B1000:C1017,2,0),"")</f>
        <v/>
      </c>
      <c r="D957" s="71">
        <f>SUMIF(ENTRADAS!B:B,B957,ENTRADAS!D:D)</f>
        <v>0</v>
      </c>
      <c r="E957" s="71">
        <f>SUMIF(SALIDAS!B:B,B957,SALIDAS!D:D)</f>
        <v>0</v>
      </c>
      <c r="F957" s="89">
        <f t="shared" si="1"/>
        <v>0</v>
      </c>
      <c r="G957" s="90"/>
      <c r="H957" s="90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</row>
    <row r="958">
      <c r="A958" s="79"/>
      <c r="B958" s="88"/>
      <c r="C958" s="71" t="str">
        <f>IFERROR(VLOOKUP(B958 ,INVENTARIO!B1000:C1018,2,0),"")</f>
        <v/>
      </c>
      <c r="D958" s="71">
        <f>SUMIF(ENTRADAS!B:B,B958,ENTRADAS!D:D)</f>
        <v>0</v>
      </c>
      <c r="E958" s="71">
        <f>SUMIF(SALIDAS!B:B,B958,SALIDAS!D:D)</f>
        <v>0</v>
      </c>
      <c r="F958" s="89">
        <f t="shared" si="1"/>
        <v>0</v>
      </c>
      <c r="G958" s="90"/>
      <c r="H958" s="90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</row>
    <row r="959">
      <c r="A959" s="79"/>
      <c r="B959" s="88"/>
      <c r="C959" s="71" t="str">
        <f>IFERROR(VLOOKUP(B959 ,INVENTARIO!B1000:C1019,2,0),"")</f>
        <v/>
      </c>
      <c r="D959" s="71">
        <f>SUMIF(ENTRADAS!B:B,B959,ENTRADAS!D:D)</f>
        <v>0</v>
      </c>
      <c r="E959" s="71">
        <f>SUMIF(SALIDAS!B:B,B959,SALIDAS!D:D)</f>
        <v>0</v>
      </c>
      <c r="F959" s="89">
        <f t="shared" si="1"/>
        <v>0</v>
      </c>
      <c r="G959" s="90"/>
      <c r="H959" s="90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</row>
    <row r="960">
      <c r="A960" s="79"/>
      <c r="B960" s="88"/>
      <c r="C960" s="71" t="str">
        <f>IFERROR(VLOOKUP(B960 ,INVENTARIO!B1000:C1020,2,0),"")</f>
        <v/>
      </c>
      <c r="D960" s="71">
        <f>SUMIF(ENTRADAS!B:B,B960,ENTRADAS!D:D)</f>
        <v>0</v>
      </c>
      <c r="E960" s="71">
        <f>SUMIF(SALIDAS!B:B,B960,SALIDAS!D:D)</f>
        <v>0</v>
      </c>
      <c r="F960" s="89">
        <f t="shared" si="1"/>
        <v>0</v>
      </c>
      <c r="G960" s="90"/>
      <c r="H960" s="90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</row>
    <row r="961">
      <c r="A961" s="79"/>
      <c r="B961" s="88"/>
      <c r="C961" s="71" t="str">
        <f>IFERROR(VLOOKUP(B961 ,INVENTARIO!B1000:C1021,2,0),"")</f>
        <v/>
      </c>
      <c r="D961" s="71">
        <f>SUMIF(ENTRADAS!B:B,B961,ENTRADAS!D:D)</f>
        <v>0</v>
      </c>
      <c r="E961" s="71">
        <f>SUMIF(SALIDAS!B:B,B961,SALIDAS!D:D)</f>
        <v>0</v>
      </c>
      <c r="F961" s="89">
        <f t="shared" si="1"/>
        <v>0</v>
      </c>
      <c r="G961" s="90"/>
      <c r="H961" s="90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</row>
    <row r="962">
      <c r="A962" s="79"/>
      <c r="B962" s="88"/>
      <c r="C962" s="71" t="str">
        <f>IFERROR(VLOOKUP(B962 ,INVENTARIO!B1000:C1022,2,0),"")</f>
        <v/>
      </c>
      <c r="D962" s="71">
        <f>SUMIF(ENTRADAS!B:B,B962,ENTRADAS!D:D)</f>
        <v>0</v>
      </c>
      <c r="E962" s="71">
        <f>SUMIF(SALIDAS!B:B,B962,SALIDAS!D:D)</f>
        <v>0</v>
      </c>
      <c r="F962" s="89">
        <f t="shared" si="1"/>
        <v>0</v>
      </c>
      <c r="G962" s="90"/>
      <c r="H962" s="90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</row>
    <row r="963">
      <c r="A963" s="79"/>
      <c r="B963" s="88"/>
      <c r="C963" s="71" t="str">
        <f>IFERROR(VLOOKUP(B963 ,INVENTARIO!B1000:C1023,2,0),"")</f>
        <v/>
      </c>
      <c r="D963" s="71">
        <f>SUMIF(ENTRADAS!B:B,B963,ENTRADAS!D:D)</f>
        <v>0</v>
      </c>
      <c r="E963" s="71">
        <f>SUMIF(SALIDAS!B:B,B963,SALIDAS!D:D)</f>
        <v>0</v>
      </c>
      <c r="F963" s="89">
        <f t="shared" si="1"/>
        <v>0</v>
      </c>
      <c r="G963" s="90"/>
      <c r="H963" s="90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</row>
    <row r="964">
      <c r="A964" s="79"/>
      <c r="B964" s="88"/>
      <c r="C964" s="71" t="str">
        <f>IFERROR(VLOOKUP(B964 ,INVENTARIO!B1000:C1024,2,0),"")</f>
        <v/>
      </c>
      <c r="D964" s="71">
        <f>SUMIF(ENTRADAS!B:B,B964,ENTRADAS!D:D)</f>
        <v>0</v>
      </c>
      <c r="E964" s="71">
        <f>SUMIF(SALIDAS!B:B,B964,SALIDAS!D:D)</f>
        <v>0</v>
      </c>
      <c r="F964" s="89">
        <f t="shared" si="1"/>
        <v>0</v>
      </c>
      <c r="G964" s="90"/>
      <c r="H964" s="90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</row>
    <row r="965">
      <c r="A965" s="79"/>
      <c r="B965" s="88"/>
      <c r="C965" s="71" t="str">
        <f>IFERROR(VLOOKUP(B965 ,INVENTARIO!B1000:C1025,2,0),"")</f>
        <v/>
      </c>
      <c r="D965" s="71">
        <f>SUMIF(ENTRADAS!B:B,B965,ENTRADAS!D:D)</f>
        <v>0</v>
      </c>
      <c r="E965" s="71">
        <f>SUMIF(SALIDAS!B:B,B965,SALIDAS!D:D)</f>
        <v>0</v>
      </c>
      <c r="F965" s="89">
        <f t="shared" si="1"/>
        <v>0</v>
      </c>
      <c r="G965" s="90"/>
      <c r="H965" s="90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</row>
    <row r="966">
      <c r="A966" s="79"/>
      <c r="B966" s="88"/>
      <c r="C966" s="71" t="str">
        <f>IFERROR(VLOOKUP(B966 ,INVENTARIO!B1000:C1026,2,0),"")</f>
        <v/>
      </c>
      <c r="D966" s="71">
        <f>SUMIF(ENTRADAS!B:B,B966,ENTRADAS!D:D)</f>
        <v>0</v>
      </c>
      <c r="E966" s="71">
        <f>SUMIF(SALIDAS!B:B,B966,SALIDAS!D:D)</f>
        <v>0</v>
      </c>
      <c r="F966" s="89">
        <f t="shared" si="1"/>
        <v>0</v>
      </c>
      <c r="G966" s="90"/>
      <c r="H966" s="90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</row>
    <row r="967">
      <c r="A967" s="79"/>
      <c r="B967" s="88"/>
      <c r="C967" s="71" t="str">
        <f>IFERROR(VLOOKUP(B967 ,INVENTARIO!B1000:C1027,2,0),"")</f>
        <v/>
      </c>
      <c r="D967" s="71">
        <f>SUMIF(ENTRADAS!B:B,B967,ENTRADAS!D:D)</f>
        <v>0</v>
      </c>
      <c r="E967" s="71">
        <f>SUMIF(SALIDAS!B:B,B967,SALIDAS!D:D)</f>
        <v>0</v>
      </c>
      <c r="F967" s="89">
        <f t="shared" si="1"/>
        <v>0</v>
      </c>
      <c r="G967" s="90"/>
      <c r="H967" s="90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</row>
    <row r="968">
      <c r="A968" s="79"/>
      <c r="B968" s="88"/>
      <c r="C968" s="71" t="str">
        <f>IFERROR(VLOOKUP(B968 ,INVENTARIO!B1000:C1028,2,0),"")</f>
        <v/>
      </c>
      <c r="D968" s="71">
        <f>SUMIF(ENTRADAS!B:B,B968,ENTRADAS!D:D)</f>
        <v>0</v>
      </c>
      <c r="E968" s="71">
        <f>SUMIF(SALIDAS!B:B,B968,SALIDAS!D:D)</f>
        <v>0</v>
      </c>
      <c r="F968" s="89">
        <f t="shared" si="1"/>
        <v>0</v>
      </c>
      <c r="G968" s="90"/>
      <c r="H968" s="90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</row>
    <row r="969">
      <c r="A969" s="79"/>
      <c r="B969" s="88"/>
      <c r="C969" s="71" t="str">
        <f>IFERROR(VLOOKUP(B969 ,INVENTARIO!B1000:C1029,2,0),"")</f>
        <v/>
      </c>
      <c r="D969" s="71">
        <f>SUMIF(ENTRADAS!B:B,B969,ENTRADAS!D:D)</f>
        <v>0</v>
      </c>
      <c r="E969" s="71">
        <f>SUMIF(SALIDAS!B:B,B969,SALIDAS!D:D)</f>
        <v>0</v>
      </c>
      <c r="F969" s="89">
        <f t="shared" si="1"/>
        <v>0</v>
      </c>
      <c r="G969" s="90"/>
      <c r="H969" s="90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</row>
    <row r="970">
      <c r="A970" s="79"/>
      <c r="B970" s="88"/>
      <c r="C970" s="71" t="str">
        <f>IFERROR(VLOOKUP(B970 ,INVENTARIO!B1000:C1030,2,0),"")</f>
        <v/>
      </c>
      <c r="D970" s="71">
        <f>SUMIF(ENTRADAS!B:B,B970,ENTRADAS!D:D)</f>
        <v>0</v>
      </c>
      <c r="E970" s="71">
        <f>SUMIF(SALIDAS!B:B,B970,SALIDAS!D:D)</f>
        <v>0</v>
      </c>
      <c r="F970" s="89">
        <f t="shared" si="1"/>
        <v>0</v>
      </c>
      <c r="G970" s="90"/>
      <c r="H970" s="90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</row>
    <row r="971">
      <c r="A971" s="79"/>
      <c r="B971" s="88"/>
      <c r="C971" s="71" t="str">
        <f>IFERROR(VLOOKUP(B971 ,INVENTARIO!B1000:C1031,2,0),"")</f>
        <v/>
      </c>
      <c r="D971" s="71">
        <f>SUMIF(ENTRADAS!B:B,B971,ENTRADAS!D:D)</f>
        <v>0</v>
      </c>
      <c r="E971" s="71">
        <f>SUMIF(SALIDAS!B:B,B971,SALIDAS!D:D)</f>
        <v>0</v>
      </c>
      <c r="F971" s="89">
        <f t="shared" si="1"/>
        <v>0</v>
      </c>
      <c r="G971" s="90"/>
      <c r="H971" s="90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</row>
    <row r="972">
      <c r="A972" s="79"/>
      <c r="B972" s="88"/>
      <c r="C972" s="71" t="str">
        <f>IFERROR(VLOOKUP(B972 ,INVENTARIO!B1000:C1032,2,0),"")</f>
        <v/>
      </c>
      <c r="D972" s="71">
        <f>SUMIF(ENTRADAS!B:B,B972,ENTRADAS!D:D)</f>
        <v>0</v>
      </c>
      <c r="E972" s="71">
        <f>SUMIF(SALIDAS!B:B,B972,SALIDAS!D:D)</f>
        <v>0</v>
      </c>
      <c r="F972" s="89">
        <f t="shared" si="1"/>
        <v>0</v>
      </c>
      <c r="G972" s="90"/>
      <c r="H972" s="90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</row>
    <row r="973">
      <c r="A973" s="79"/>
      <c r="B973" s="88"/>
      <c r="C973" s="71" t="str">
        <f>IFERROR(VLOOKUP(B973 ,INVENTARIO!B1000:C1033,2,0),"")</f>
        <v/>
      </c>
      <c r="D973" s="71">
        <f>SUMIF(ENTRADAS!B:B,B973,ENTRADAS!D:D)</f>
        <v>0</v>
      </c>
      <c r="E973" s="71">
        <f>SUMIF(SALIDAS!B:B,B973,SALIDAS!D:D)</f>
        <v>0</v>
      </c>
      <c r="F973" s="89">
        <f t="shared" si="1"/>
        <v>0</v>
      </c>
      <c r="G973" s="90"/>
      <c r="H973" s="90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</row>
    <row r="974">
      <c r="A974" s="79"/>
      <c r="B974" s="88"/>
      <c r="C974" s="71" t="str">
        <f>IFERROR(VLOOKUP(B974 ,INVENTARIO!B1000:C1034,2,0),"")</f>
        <v/>
      </c>
      <c r="D974" s="71">
        <f>SUMIF(ENTRADAS!B:B,B974,ENTRADAS!D:D)</f>
        <v>0</v>
      </c>
      <c r="E974" s="71">
        <f>SUMIF(SALIDAS!B:B,B974,SALIDAS!D:D)</f>
        <v>0</v>
      </c>
      <c r="F974" s="89">
        <f t="shared" si="1"/>
        <v>0</v>
      </c>
      <c r="G974" s="90"/>
      <c r="H974" s="90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</row>
    <row r="975">
      <c r="A975" s="79"/>
      <c r="B975" s="88"/>
      <c r="C975" s="71" t="str">
        <f>IFERROR(VLOOKUP(B975 ,INVENTARIO!B1000:C1035,2,0),"")</f>
        <v/>
      </c>
      <c r="D975" s="71">
        <f>SUMIF(ENTRADAS!B:B,B975,ENTRADAS!D:D)</f>
        <v>0</v>
      </c>
      <c r="E975" s="71">
        <f>SUMIF(SALIDAS!B:B,B975,SALIDAS!D:D)</f>
        <v>0</v>
      </c>
      <c r="F975" s="89">
        <f t="shared" si="1"/>
        <v>0</v>
      </c>
      <c r="G975" s="90"/>
      <c r="H975" s="90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</row>
    <row r="976">
      <c r="A976" s="79"/>
      <c r="B976" s="88"/>
      <c r="C976" s="71" t="str">
        <f>IFERROR(VLOOKUP(B976 ,INVENTARIO!B1000:C1036,2,0),"")</f>
        <v/>
      </c>
      <c r="D976" s="71">
        <f>SUMIF(ENTRADAS!B:B,B976,ENTRADAS!D:D)</f>
        <v>0</v>
      </c>
      <c r="E976" s="71">
        <f>SUMIF(SALIDAS!B:B,B976,SALIDAS!D:D)</f>
        <v>0</v>
      </c>
      <c r="F976" s="89">
        <f t="shared" si="1"/>
        <v>0</v>
      </c>
      <c r="G976" s="90"/>
      <c r="H976" s="90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</row>
    <row r="977">
      <c r="A977" s="79"/>
      <c r="B977" s="88"/>
      <c r="C977" s="71" t="str">
        <f>IFERROR(VLOOKUP(B977 ,INVENTARIO!B1000:C1037,2,0),"")</f>
        <v/>
      </c>
      <c r="D977" s="71">
        <f>SUMIF(ENTRADAS!B:B,B977,ENTRADAS!D:D)</f>
        <v>0</v>
      </c>
      <c r="E977" s="71">
        <f>SUMIF(SALIDAS!B:B,B977,SALIDAS!D:D)</f>
        <v>0</v>
      </c>
      <c r="F977" s="89">
        <f t="shared" si="1"/>
        <v>0</v>
      </c>
      <c r="G977" s="90"/>
      <c r="H977" s="90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</row>
    <row r="978">
      <c r="A978" s="79"/>
      <c r="B978" s="88"/>
      <c r="C978" s="71" t="str">
        <f>IFERROR(VLOOKUP(B978 ,INVENTARIO!B1000:C1038,2,0),"")</f>
        <v/>
      </c>
      <c r="D978" s="71">
        <f>SUMIF(ENTRADAS!B:B,B978,ENTRADAS!D:D)</f>
        <v>0</v>
      </c>
      <c r="E978" s="71">
        <f>SUMIF(SALIDAS!B:B,B978,SALIDAS!D:D)</f>
        <v>0</v>
      </c>
      <c r="F978" s="89">
        <f t="shared" si="1"/>
        <v>0</v>
      </c>
      <c r="G978" s="90"/>
      <c r="H978" s="90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</row>
    <row r="979">
      <c r="A979" s="79"/>
      <c r="B979" s="88"/>
      <c r="C979" s="71" t="str">
        <f>IFERROR(VLOOKUP(B979 ,INVENTARIO!B1000:C1039,2,0),"")</f>
        <v/>
      </c>
      <c r="D979" s="71">
        <f>SUMIF(ENTRADAS!B:B,B979,ENTRADAS!D:D)</f>
        <v>0</v>
      </c>
      <c r="E979" s="71">
        <f>SUMIF(SALIDAS!B:B,B979,SALIDAS!D:D)</f>
        <v>0</v>
      </c>
      <c r="F979" s="89">
        <f t="shared" si="1"/>
        <v>0</v>
      </c>
      <c r="G979" s="90"/>
      <c r="H979" s="90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</row>
    <row r="980">
      <c r="A980" s="79"/>
      <c r="B980" s="88"/>
      <c r="C980" s="71" t="str">
        <f>IFERROR(VLOOKUP(B980 ,INVENTARIO!B1000:C1040,2,0),"")</f>
        <v/>
      </c>
      <c r="D980" s="71">
        <f>SUMIF(ENTRADAS!B:B,B980,ENTRADAS!D:D)</f>
        <v>0</v>
      </c>
      <c r="E980" s="71">
        <f>SUMIF(SALIDAS!B:B,B980,SALIDAS!D:D)</f>
        <v>0</v>
      </c>
      <c r="F980" s="89">
        <f t="shared" si="1"/>
        <v>0</v>
      </c>
      <c r="G980" s="90"/>
      <c r="H980" s="90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</row>
    <row r="981">
      <c r="A981" s="79"/>
      <c r="B981" s="88"/>
      <c r="C981" s="71" t="str">
        <f>IFERROR(VLOOKUP(B981 ,INVENTARIO!B1000:C1041,2,0),"")</f>
        <v/>
      </c>
      <c r="D981" s="71">
        <f>SUMIF(ENTRADAS!B:B,B981,ENTRADAS!D:D)</f>
        <v>0</v>
      </c>
      <c r="E981" s="71">
        <f>SUMIF(SALIDAS!B:B,B981,SALIDAS!D:D)</f>
        <v>0</v>
      </c>
      <c r="F981" s="89">
        <f t="shared" si="1"/>
        <v>0</v>
      </c>
      <c r="G981" s="90"/>
      <c r="H981" s="90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</row>
    <row r="982">
      <c r="A982" s="79"/>
      <c r="B982" s="88"/>
      <c r="C982" s="71" t="str">
        <f>IFERROR(VLOOKUP(B982 ,INVENTARIO!B1000:C1042,2,0),"")</f>
        <v/>
      </c>
      <c r="D982" s="71">
        <f>SUMIF(ENTRADAS!B:B,B982,ENTRADAS!D:D)</f>
        <v>0</v>
      </c>
      <c r="E982" s="71">
        <f>SUMIF(SALIDAS!B:B,B982,SALIDAS!D:D)</f>
        <v>0</v>
      </c>
      <c r="F982" s="89">
        <f t="shared" si="1"/>
        <v>0</v>
      </c>
      <c r="G982" s="90"/>
      <c r="H982" s="90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</row>
    <row r="983">
      <c r="A983" s="79"/>
      <c r="B983" s="88"/>
      <c r="C983" s="71" t="str">
        <f>IFERROR(VLOOKUP(B983 ,INVENTARIO!B1000:C1043,2,0),"")</f>
        <v/>
      </c>
      <c r="D983" s="71">
        <f>SUMIF(ENTRADAS!B:B,B983,ENTRADAS!D:D)</f>
        <v>0</v>
      </c>
      <c r="E983" s="71">
        <f>SUMIF(SALIDAS!B:B,B983,SALIDAS!D:D)</f>
        <v>0</v>
      </c>
      <c r="F983" s="89">
        <f t="shared" si="1"/>
        <v>0</v>
      </c>
      <c r="G983" s="90"/>
      <c r="H983" s="90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</row>
    <row r="984">
      <c r="A984" s="79"/>
      <c r="B984" s="88"/>
      <c r="C984" s="71" t="str">
        <f>IFERROR(VLOOKUP(B984 ,INVENTARIO!B1000:C1044,2,0),"")</f>
        <v/>
      </c>
      <c r="D984" s="71">
        <f>SUMIF(ENTRADAS!B:B,B984,ENTRADAS!D:D)</f>
        <v>0</v>
      </c>
      <c r="E984" s="71">
        <f>SUMIF(SALIDAS!B:B,B984,SALIDAS!D:D)</f>
        <v>0</v>
      </c>
      <c r="F984" s="89">
        <f t="shared" si="1"/>
        <v>0</v>
      </c>
      <c r="G984" s="90"/>
      <c r="H984" s="90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</row>
    <row r="985">
      <c r="A985" s="79"/>
      <c r="B985" s="88"/>
      <c r="C985" s="71" t="str">
        <f>IFERROR(VLOOKUP(B985 ,INVENTARIO!B1000:C1045,2,0),"")</f>
        <v/>
      </c>
      <c r="D985" s="71">
        <f>SUMIF(ENTRADAS!B:B,B985,ENTRADAS!D:D)</f>
        <v>0</v>
      </c>
      <c r="E985" s="71">
        <f>SUMIF(SALIDAS!B:B,B985,SALIDAS!D:D)</f>
        <v>0</v>
      </c>
      <c r="F985" s="89">
        <f t="shared" si="1"/>
        <v>0</v>
      </c>
      <c r="G985" s="90"/>
      <c r="H985" s="90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</row>
    <row r="986">
      <c r="A986" s="79"/>
      <c r="B986" s="88"/>
      <c r="C986" s="71" t="str">
        <f>IFERROR(VLOOKUP(B986 ,INVENTARIO!B1000:C1046,2,0),"")</f>
        <v/>
      </c>
      <c r="D986" s="71">
        <f>SUMIF(ENTRADAS!B:B,B986,ENTRADAS!D:D)</f>
        <v>0</v>
      </c>
      <c r="E986" s="71">
        <f>SUMIF(SALIDAS!B:B,B986,SALIDAS!D:D)</f>
        <v>0</v>
      </c>
      <c r="F986" s="89">
        <f t="shared" si="1"/>
        <v>0</v>
      </c>
      <c r="G986" s="90"/>
      <c r="H986" s="90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</row>
    <row r="987">
      <c r="A987" s="79"/>
      <c r="B987" s="88"/>
      <c r="C987" s="71" t="str">
        <f>IFERROR(VLOOKUP(B987 ,INVENTARIO!B1000:C1047,2,0),"")</f>
        <v/>
      </c>
      <c r="D987" s="71">
        <f>SUMIF(ENTRADAS!B:B,B987,ENTRADAS!D:D)</f>
        <v>0</v>
      </c>
      <c r="E987" s="71">
        <f>SUMIF(SALIDAS!B:B,B987,SALIDAS!D:D)</f>
        <v>0</v>
      </c>
      <c r="F987" s="89">
        <f t="shared" si="1"/>
        <v>0</v>
      </c>
      <c r="G987" s="90"/>
      <c r="H987" s="90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</row>
    <row r="988">
      <c r="A988" s="79"/>
      <c r="B988" s="88"/>
      <c r="C988" s="71" t="str">
        <f>IFERROR(VLOOKUP(B988 ,INVENTARIO!B1000:C1048,2,0),"")</f>
        <v/>
      </c>
      <c r="D988" s="71">
        <f>SUMIF(ENTRADAS!B:B,B988,ENTRADAS!D:D)</f>
        <v>0</v>
      </c>
      <c r="E988" s="71">
        <f>SUMIF(SALIDAS!B:B,B988,SALIDAS!D:D)</f>
        <v>0</v>
      </c>
      <c r="F988" s="89">
        <f t="shared" si="1"/>
        <v>0</v>
      </c>
      <c r="G988" s="90"/>
      <c r="H988" s="90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</row>
    <row r="989">
      <c r="A989" s="79"/>
      <c r="B989" s="88"/>
      <c r="C989" s="71" t="str">
        <f>IFERROR(VLOOKUP(B989 ,INVENTARIO!B1000:C1049,2,0),"")</f>
        <v/>
      </c>
      <c r="D989" s="71">
        <f>SUMIF(ENTRADAS!B:B,B989,ENTRADAS!D:D)</f>
        <v>0</v>
      </c>
      <c r="E989" s="71">
        <f>SUMIF(SALIDAS!B:B,B989,SALIDAS!D:D)</f>
        <v>0</v>
      </c>
      <c r="F989" s="89">
        <f t="shared" si="1"/>
        <v>0</v>
      </c>
      <c r="G989" s="90"/>
      <c r="H989" s="90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</row>
    <row r="990">
      <c r="A990" s="79"/>
      <c r="B990" s="88"/>
      <c r="C990" s="71" t="str">
        <f>IFERROR(VLOOKUP(B990 ,INVENTARIO!B1000:C1050,2,0),"")</f>
        <v/>
      </c>
      <c r="D990" s="71">
        <f>SUMIF(ENTRADAS!B:B,B990,ENTRADAS!D:D)</f>
        <v>0</v>
      </c>
      <c r="E990" s="71">
        <f>SUMIF(SALIDAS!B:B,B990,SALIDAS!D:D)</f>
        <v>0</v>
      </c>
      <c r="F990" s="89">
        <f t="shared" si="1"/>
        <v>0</v>
      </c>
      <c r="G990" s="90"/>
      <c r="H990" s="90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</row>
    <row r="991">
      <c r="A991" s="79"/>
      <c r="B991" s="88"/>
      <c r="C991" s="71" t="str">
        <f>IFERROR(VLOOKUP(B991 ,INVENTARIO!B1000:C1051,2,0),"")</f>
        <v/>
      </c>
      <c r="D991" s="71">
        <f>SUMIF(ENTRADAS!B:B,B991,ENTRADAS!D:D)</f>
        <v>0</v>
      </c>
      <c r="E991" s="71">
        <f>SUMIF(SALIDAS!B:B,B991,SALIDAS!D:D)</f>
        <v>0</v>
      </c>
      <c r="F991" s="89">
        <f t="shared" si="1"/>
        <v>0</v>
      </c>
      <c r="G991" s="90"/>
      <c r="H991" s="90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</row>
    <row r="992">
      <c r="A992" s="79"/>
      <c r="B992" s="88"/>
      <c r="C992" s="71" t="str">
        <f>IFERROR(VLOOKUP(B992 ,INVENTARIO!B1000:C1052,2,0),"")</f>
        <v/>
      </c>
      <c r="D992" s="71">
        <f>SUMIF(ENTRADAS!B:B,B992,ENTRADAS!D:D)</f>
        <v>0</v>
      </c>
      <c r="E992" s="71">
        <f>SUMIF(SALIDAS!B:B,B992,SALIDAS!D:D)</f>
        <v>0</v>
      </c>
      <c r="F992" s="89">
        <f t="shared" si="1"/>
        <v>0</v>
      </c>
      <c r="G992" s="90"/>
      <c r="H992" s="90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</row>
    <row r="993">
      <c r="A993" s="79"/>
      <c r="B993" s="88"/>
      <c r="C993" s="71" t="str">
        <f>IFERROR(VLOOKUP(B993 ,INVENTARIO!B1000:C1053,2,0),"")</f>
        <v/>
      </c>
      <c r="D993" s="71">
        <f>SUMIF(ENTRADAS!B:B,B993,ENTRADAS!D:D)</f>
        <v>0</v>
      </c>
      <c r="E993" s="71">
        <f>SUMIF(SALIDAS!B:B,B993,SALIDAS!D:D)</f>
        <v>0</v>
      </c>
      <c r="F993" s="89">
        <f t="shared" si="1"/>
        <v>0</v>
      </c>
      <c r="G993" s="90"/>
      <c r="H993" s="90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</row>
    <row r="994">
      <c r="A994" s="79"/>
      <c r="B994" s="88"/>
      <c r="C994" s="71" t="str">
        <f>IFERROR(VLOOKUP(B994 ,INVENTARIO!B1000:C1054,2,0),"")</f>
        <v/>
      </c>
      <c r="D994" s="71">
        <f>SUMIF(ENTRADAS!B:B,B994,ENTRADAS!D:D)</f>
        <v>0</v>
      </c>
      <c r="E994" s="71">
        <f>SUMIF(SALIDAS!B:B,B994,SALIDAS!D:D)</f>
        <v>0</v>
      </c>
      <c r="F994" s="89">
        <f t="shared" si="1"/>
        <v>0</v>
      </c>
      <c r="G994" s="90"/>
      <c r="H994" s="90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</row>
    <row r="995">
      <c r="A995" s="79"/>
      <c r="B995" s="88"/>
      <c r="C995" s="71" t="str">
        <f>IFERROR(VLOOKUP(B995 ,INVENTARIO!B1000:C1055,2,0),"")</f>
        <v/>
      </c>
      <c r="D995" s="71">
        <f>SUMIF(ENTRADAS!B:B,B995,ENTRADAS!D:D)</f>
        <v>0</v>
      </c>
      <c r="E995" s="71">
        <f>SUMIF(SALIDAS!B:B,B995,SALIDAS!D:D)</f>
        <v>0</v>
      </c>
      <c r="F995" s="89">
        <f t="shared" si="1"/>
        <v>0</v>
      </c>
      <c r="G995" s="90"/>
      <c r="H995" s="90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</row>
    <row r="996">
      <c r="A996" s="79"/>
      <c r="B996" s="88"/>
      <c r="C996" s="71" t="str">
        <f>IFERROR(VLOOKUP(B996 ,INVENTARIO!B1000:C1056,2,0),"")</f>
        <v/>
      </c>
      <c r="D996" s="71">
        <f>SUMIF(ENTRADAS!B:B,B996,ENTRADAS!D:D)</f>
        <v>0</v>
      </c>
      <c r="E996" s="71">
        <f>SUMIF(SALIDAS!B:B,B996,SALIDAS!D:D)</f>
        <v>0</v>
      </c>
      <c r="F996" s="89">
        <f t="shared" si="1"/>
        <v>0</v>
      </c>
      <c r="G996" s="90"/>
      <c r="H996" s="90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</row>
    <row r="997">
      <c r="A997" s="79"/>
      <c r="B997" s="88"/>
      <c r="C997" s="71" t="str">
        <f>IFERROR(VLOOKUP(B997 ,INVENTARIO!B1000:C1057,2,0),"")</f>
        <v/>
      </c>
      <c r="D997" s="71">
        <f>SUMIF(ENTRADAS!B:B,B997,ENTRADAS!D:D)</f>
        <v>0</v>
      </c>
      <c r="E997" s="71">
        <f>SUMIF(SALIDAS!B:B,B997,SALIDAS!D:D)</f>
        <v>0</v>
      </c>
      <c r="F997" s="89">
        <f t="shared" si="1"/>
        <v>0</v>
      </c>
      <c r="G997" s="90"/>
      <c r="H997" s="90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</row>
    <row r="998">
      <c r="A998" s="79"/>
      <c r="B998" s="88"/>
      <c r="C998" s="71" t="str">
        <f>IFERROR(VLOOKUP(B998 ,INVENTARIO!B1000:C1058,2,0),"")</f>
        <v/>
      </c>
      <c r="D998" s="71">
        <f>SUMIF(ENTRADAS!B:B,B998,ENTRADAS!D:D)</f>
        <v>0</v>
      </c>
      <c r="E998" s="71">
        <f>SUMIF(SALIDAS!B:B,B998,SALIDAS!D:D)</f>
        <v>0</v>
      </c>
      <c r="F998" s="89">
        <f t="shared" si="1"/>
        <v>0</v>
      </c>
      <c r="G998" s="90"/>
      <c r="H998" s="90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</row>
    <row r="999">
      <c r="A999" s="79"/>
      <c r="B999" s="88"/>
      <c r="C999" s="71" t="str">
        <f>IFERROR(VLOOKUP(B999 ,INVENTARIO!B1000:C1059,2,0),"")</f>
        <v/>
      </c>
      <c r="D999" s="71">
        <f>SUMIF(ENTRADAS!B:B,B999,ENTRADAS!D:D)</f>
        <v>0</v>
      </c>
      <c r="E999" s="71">
        <f>SUMIF(SALIDAS!B:B,B999,SALIDAS!D:D)</f>
        <v>0</v>
      </c>
      <c r="F999" s="89">
        <f t="shared" si="1"/>
        <v>0</v>
      </c>
      <c r="G999" s="90"/>
      <c r="H999" s="90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</row>
    <row r="1000">
      <c r="A1000" s="79"/>
      <c r="B1000" s="88"/>
      <c r="C1000" s="71" t="str">
        <f>IFERROR(VLOOKUP(B1000 ,INVENTARIO!B1000:C1060,2,0),"")</f>
        <v/>
      </c>
      <c r="D1000" s="71">
        <f>SUMIF(ENTRADAS!B:B,B1000,ENTRADAS!D:D)</f>
        <v>0</v>
      </c>
      <c r="E1000" s="71">
        <f>SUMIF(SALIDAS!B:B,B1000,SALIDAS!D:D)</f>
        <v>0</v>
      </c>
      <c r="F1000" s="89">
        <f t="shared" si="1"/>
        <v>0</v>
      </c>
      <c r="G1000" s="90"/>
      <c r="H1000" s="90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4.5"/>
    <col customWidth="1" min="3" max="3" width="16.0"/>
    <col customWidth="1" min="4" max="4" width="18.38"/>
    <col customWidth="1" min="5" max="5" width="2.88"/>
    <col customWidth="1" min="6" max="25" width="18.63"/>
  </cols>
  <sheetData>
    <row r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>
      <c r="A2" s="91"/>
      <c r="B2" s="27"/>
      <c r="C2" s="27"/>
      <c r="D2" s="92"/>
      <c r="E2" s="27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>
      <c r="A3" s="91"/>
      <c r="B3" s="27"/>
      <c r="C3" s="27"/>
      <c r="D3" s="27"/>
      <c r="E3" s="2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</row>
    <row r="4">
      <c r="A4" s="91"/>
      <c r="B4" s="27"/>
      <c r="C4" s="27"/>
      <c r="D4" s="27"/>
      <c r="E4" s="27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</row>
    <row r="5">
      <c r="A5" s="91"/>
      <c r="B5" s="27"/>
      <c r="C5" s="27"/>
      <c r="D5" s="27"/>
      <c r="E5" s="27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>
      <c r="A6" s="91"/>
      <c r="B6" s="27"/>
      <c r="C6" s="27"/>
      <c r="D6" s="27"/>
      <c r="E6" s="27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</row>
    <row r="7">
      <c r="A7" s="91"/>
      <c r="B7" s="27"/>
      <c r="C7" s="27"/>
      <c r="D7" s="27"/>
      <c r="E7" s="27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</row>
    <row r="8">
      <c r="A8" s="91"/>
      <c r="B8" s="27"/>
      <c r="C8" s="27"/>
      <c r="D8" s="27"/>
      <c r="E8" s="27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</row>
    <row r="9">
      <c r="A9" s="91"/>
      <c r="B9" s="27"/>
      <c r="C9" s="27"/>
      <c r="D9" s="27"/>
      <c r="E9" s="27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</row>
    <row r="10">
      <c r="A10" s="91"/>
      <c r="B10" s="27"/>
      <c r="C10" s="27"/>
      <c r="D10" s="27"/>
      <c r="E10" s="27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</row>
    <row r="11">
      <c r="A11" s="91"/>
      <c r="B11" s="27"/>
      <c r="C11" s="27"/>
      <c r="D11" s="27"/>
      <c r="E11" s="27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</row>
    <row r="12">
      <c r="A12" s="91"/>
      <c r="B12" s="27"/>
      <c r="C12" s="27"/>
      <c r="D12" s="27"/>
      <c r="E12" s="27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</row>
    <row r="13">
      <c r="A13" s="91"/>
      <c r="B13" s="27"/>
      <c r="C13" s="27"/>
      <c r="D13" s="27"/>
      <c r="E13" s="27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</row>
    <row r="14">
      <c r="A14" s="91"/>
      <c r="B14" s="27"/>
      <c r="C14" s="27"/>
      <c r="D14" s="27"/>
      <c r="E14" s="27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</row>
    <row r="15">
      <c r="A15" s="91"/>
      <c r="B15" s="27"/>
      <c r="C15" s="27"/>
      <c r="D15" s="27"/>
      <c r="E15" s="27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>
      <c r="A16" s="91"/>
      <c r="B16" s="27"/>
      <c r="C16" s="27"/>
      <c r="D16" s="27"/>
      <c r="E16" s="27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</row>
    <row r="17">
      <c r="A17" s="91"/>
      <c r="B17" s="27"/>
      <c r="C17" s="27"/>
      <c r="D17" s="27"/>
      <c r="E17" s="27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</row>
    <row r="18">
      <c r="A18" s="91"/>
      <c r="B18" s="27"/>
      <c r="C18" s="27"/>
      <c r="D18" s="27"/>
      <c r="E18" s="27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</row>
    <row r="19">
      <c r="A19" s="91"/>
      <c r="B19" s="27"/>
      <c r="C19" s="27"/>
      <c r="D19" s="27"/>
      <c r="E19" s="27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</row>
    <row r="20">
      <c r="A20" s="91"/>
      <c r="B20" s="27"/>
      <c r="C20" s="27"/>
      <c r="D20" s="27"/>
      <c r="E20" s="27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</row>
    <row r="21">
      <c r="A21" s="91"/>
      <c r="B21" s="27"/>
      <c r="C21" s="27"/>
      <c r="D21" s="27"/>
      <c r="E21" s="27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</row>
    <row r="22">
      <c r="A22" s="91"/>
      <c r="B22" s="27"/>
      <c r="C22" s="27"/>
      <c r="D22" s="27"/>
      <c r="E22" s="27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</row>
    <row r="23">
      <c r="A23" s="91"/>
      <c r="B23" s="27"/>
      <c r="C23" s="27"/>
      <c r="D23" s="27"/>
      <c r="E23" s="27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</row>
    <row r="24">
      <c r="A24" s="91"/>
      <c r="B24" s="27"/>
      <c r="C24" s="27"/>
      <c r="D24" s="27"/>
      <c r="E24" s="27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</row>
    <row r="25">
      <c r="A25" s="91"/>
      <c r="B25" s="27"/>
      <c r="C25" s="27"/>
      <c r="D25" s="27"/>
      <c r="E25" s="27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</row>
    <row r="26">
      <c r="A26" s="91"/>
      <c r="B26" s="27"/>
      <c r="C26" s="27"/>
      <c r="D26" s="27"/>
      <c r="E26" s="27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</row>
    <row r="27">
      <c r="A27" s="91"/>
      <c r="B27" s="27"/>
      <c r="C27" s="27"/>
      <c r="D27" s="27"/>
      <c r="E27" s="27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</row>
    <row r="28">
      <c r="A28" s="91"/>
      <c r="B28" s="27"/>
      <c r="C28" s="27"/>
      <c r="D28" s="27"/>
      <c r="E28" s="27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</row>
    <row r="29">
      <c r="A29" s="91"/>
      <c r="B29" s="27"/>
      <c r="C29" s="27"/>
      <c r="D29" s="92"/>
      <c r="E29" s="27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</row>
    <row r="30">
      <c r="A30" s="91"/>
      <c r="B30" s="27"/>
      <c r="C30" s="27"/>
      <c r="D30" s="92"/>
      <c r="E30" s="27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</row>
    <row r="31">
      <c r="A31" s="91"/>
      <c r="B31" s="27"/>
      <c r="C31" s="27"/>
      <c r="D31" s="92"/>
      <c r="E31" s="27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</row>
    <row r="32">
      <c r="A32" s="91"/>
      <c r="B32" s="27"/>
      <c r="C32" s="27"/>
      <c r="D32" s="92"/>
      <c r="E32" s="27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</row>
    <row r="33">
      <c r="A33" s="91"/>
      <c r="B33" s="27"/>
      <c r="C33" s="27"/>
      <c r="D33" s="92"/>
      <c r="E33" s="27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</row>
    <row r="34">
      <c r="A34" s="91"/>
      <c r="B34" s="27"/>
      <c r="C34" s="27"/>
      <c r="D34" s="92"/>
      <c r="E34" s="27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</row>
    <row r="35">
      <c r="A35" s="91"/>
      <c r="B35" s="27"/>
      <c r="C35" s="27"/>
      <c r="D35" s="92"/>
      <c r="E35" s="27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</row>
    <row r="36">
      <c r="A36" s="91"/>
      <c r="B36" s="27"/>
      <c r="C36" s="27"/>
      <c r="D36" s="92"/>
      <c r="E36" s="27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</row>
    <row r="37">
      <c r="A37" s="91"/>
      <c r="B37" s="27"/>
      <c r="C37" s="27"/>
      <c r="D37" s="92"/>
      <c r="E37" s="27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</row>
    <row r="38">
      <c r="A38" s="91"/>
      <c r="B38" s="27"/>
      <c r="C38" s="27"/>
      <c r="D38" s="92"/>
      <c r="E38" s="27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</row>
    <row r="39">
      <c r="A39" s="91"/>
      <c r="B39" s="27"/>
      <c r="C39" s="27"/>
      <c r="D39" s="92"/>
      <c r="E39" s="27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</row>
    <row r="40">
      <c r="A40" s="91"/>
      <c r="B40" s="27"/>
      <c r="C40" s="27"/>
      <c r="D40" s="27"/>
      <c r="E40" s="27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</row>
    <row r="41">
      <c r="A41" s="91"/>
      <c r="B41" s="27"/>
      <c r="C41" s="27"/>
      <c r="D41" s="92"/>
      <c r="E41" s="27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</row>
    <row r="42">
      <c r="A42" s="91"/>
      <c r="B42" s="27"/>
      <c r="C42" s="27"/>
      <c r="D42" s="92"/>
      <c r="E42" s="27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</row>
    <row r="43">
      <c r="A43" s="91"/>
      <c r="B43" s="27"/>
      <c r="C43" s="27"/>
      <c r="D43" s="92"/>
      <c r="E43" s="27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</row>
    <row r="44">
      <c r="A44" s="91"/>
      <c r="B44" s="27"/>
      <c r="C44" s="27"/>
      <c r="D44" s="92"/>
      <c r="E44" s="27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</row>
    <row r="45">
      <c r="A45" s="91"/>
      <c r="B45" s="27"/>
      <c r="C45" s="27"/>
      <c r="D45" s="92"/>
      <c r="E45" s="27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</row>
    <row r="46">
      <c r="A46" s="91"/>
      <c r="B46" s="27"/>
      <c r="C46" s="27"/>
      <c r="D46" s="92"/>
      <c r="E46" s="27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</row>
    <row r="47">
      <c r="A47" s="91"/>
      <c r="B47" s="27"/>
      <c r="C47" s="27"/>
      <c r="D47" s="92"/>
      <c r="E47" s="27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</row>
    <row r="48">
      <c r="A48" s="91"/>
      <c r="B48" s="27"/>
      <c r="C48" s="27"/>
      <c r="D48" s="92"/>
      <c r="E48" s="27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</row>
    <row r="49">
      <c r="A49" s="91"/>
      <c r="B49" s="27"/>
      <c r="C49" s="27"/>
      <c r="D49" s="92"/>
      <c r="E49" s="27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>
      <c r="A50" s="91"/>
      <c r="B50" s="27"/>
      <c r="C50" s="27"/>
      <c r="D50" s="92"/>
      <c r="E50" s="27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  <row r="51">
      <c r="A51" s="91"/>
      <c r="B51" s="27"/>
      <c r="C51" s="27"/>
      <c r="D51" s="27"/>
      <c r="E51" s="27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</row>
    <row r="52">
      <c r="A52" s="91"/>
      <c r="B52" s="27"/>
      <c r="C52" s="27"/>
      <c r="D52" s="27"/>
      <c r="E52" s="27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</row>
    <row r="53">
      <c r="A53" s="91"/>
      <c r="B53" s="27"/>
      <c r="C53" s="27"/>
      <c r="D53" s="92"/>
      <c r="E53" s="27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</row>
    <row r="54">
      <c r="A54" s="91"/>
      <c r="B54" s="27"/>
      <c r="C54" s="27"/>
      <c r="D54" s="92"/>
      <c r="E54" s="27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</row>
    <row r="55">
      <c r="A55" s="91"/>
      <c r="B55" s="27"/>
      <c r="C55" s="27"/>
      <c r="D55" s="92"/>
      <c r="E55" s="27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</row>
    <row r="56">
      <c r="A56" s="91"/>
      <c r="B56" s="27"/>
      <c r="C56" s="27"/>
      <c r="D56" s="92"/>
      <c r="E56" s="27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</row>
    <row r="57">
      <c r="A57" s="91"/>
      <c r="B57" s="27"/>
      <c r="C57" s="27"/>
      <c r="D57" s="92"/>
      <c r="E57" s="27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</row>
    <row r="58">
      <c r="A58" s="91"/>
      <c r="B58" s="27"/>
      <c r="C58" s="27"/>
      <c r="D58" s="92"/>
      <c r="E58" s="27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</row>
    <row r="59">
      <c r="A59" s="91"/>
      <c r="B59" s="27"/>
      <c r="C59" s="27"/>
      <c r="D59" s="92"/>
      <c r="E59" s="27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</row>
    <row r="60">
      <c r="A60" s="91"/>
      <c r="B60" s="27"/>
      <c r="C60" s="27"/>
      <c r="D60" s="92"/>
      <c r="E60" s="27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</row>
    <row r="61">
      <c r="A61" s="91"/>
      <c r="B61" s="27"/>
      <c r="C61" s="27"/>
      <c r="D61" s="27"/>
      <c r="E61" s="27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</row>
    <row r="62">
      <c r="A62" s="91"/>
      <c r="B62" s="27"/>
      <c r="C62" s="27"/>
      <c r="D62" s="27"/>
      <c r="E62" s="27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</row>
    <row r="63">
      <c r="A63" s="91"/>
      <c r="B63" s="27"/>
      <c r="C63" s="27"/>
      <c r="D63" s="27"/>
      <c r="E63" s="27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</row>
    <row r="64">
      <c r="A64" s="91"/>
      <c r="B64" s="27"/>
      <c r="C64" s="27"/>
      <c r="D64" s="27"/>
      <c r="E64" s="27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</row>
    <row r="65">
      <c r="A65" s="91"/>
      <c r="B65" s="27"/>
      <c r="C65" s="27"/>
      <c r="D65" s="92"/>
      <c r="E65" s="27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</row>
    <row r="66">
      <c r="A66" s="91"/>
      <c r="B66" s="27"/>
      <c r="C66" s="27"/>
      <c r="D66" s="92"/>
      <c r="E66" s="27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</row>
    <row r="67">
      <c r="A67" s="91"/>
      <c r="B67" s="27"/>
      <c r="C67" s="27"/>
      <c r="D67" s="92"/>
      <c r="E67" s="27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</row>
    <row r="68">
      <c r="A68" s="91"/>
      <c r="B68" s="27"/>
      <c r="C68" s="27"/>
      <c r="D68" s="92"/>
      <c r="E68" s="27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</row>
    <row r="69">
      <c r="A69" s="91"/>
      <c r="B69" s="27"/>
      <c r="C69" s="27"/>
      <c r="D69" s="92"/>
      <c r="E69" s="27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</row>
    <row r="70">
      <c r="A70" s="91"/>
      <c r="B70" s="27"/>
      <c r="C70" s="27"/>
      <c r="D70" s="27"/>
      <c r="E70" s="27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</row>
    <row r="71">
      <c r="A71" s="91"/>
      <c r="B71" s="27"/>
      <c r="C71" s="27"/>
      <c r="D71" s="92"/>
      <c r="E71" s="27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</row>
    <row r="72">
      <c r="A72" s="91"/>
      <c r="B72" s="27"/>
      <c r="C72" s="27"/>
      <c r="D72" s="92"/>
      <c r="E72" s="27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</row>
    <row r="73">
      <c r="A73" s="91"/>
      <c r="B73" s="27"/>
      <c r="C73" s="27"/>
      <c r="D73" s="92"/>
      <c r="E73" s="27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</row>
    <row r="74">
      <c r="A74" s="91"/>
      <c r="B74" s="27"/>
      <c r="C74" s="27"/>
      <c r="D74" s="92"/>
      <c r="E74" s="27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</row>
    <row r="75">
      <c r="A75" s="91"/>
      <c r="B75" s="27"/>
      <c r="C75" s="27"/>
      <c r="D75" s="92"/>
      <c r="E75" s="27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</row>
    <row r="76">
      <c r="A76" s="91"/>
      <c r="B76" s="27"/>
      <c r="C76" s="27"/>
      <c r="D76" s="92"/>
      <c r="E76" s="27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</row>
    <row r="77">
      <c r="A77" s="91"/>
      <c r="B77" s="27"/>
      <c r="C77" s="27"/>
      <c r="D77" s="92"/>
      <c r="E77" s="27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</row>
    <row r="78">
      <c r="A78" s="91"/>
      <c r="B78" s="27"/>
      <c r="C78" s="27"/>
      <c r="D78" s="92"/>
      <c r="E78" s="27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</row>
    <row r="79">
      <c r="A79" s="91"/>
      <c r="B79" s="27"/>
      <c r="C79" s="27"/>
      <c r="D79" s="27"/>
      <c r="E79" s="27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</row>
    <row r="80">
      <c r="A80" s="91"/>
      <c r="B80" s="27"/>
      <c r="C80" s="27"/>
      <c r="D80" s="92"/>
      <c r="E80" s="27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</row>
    <row r="81">
      <c r="A81" s="91"/>
      <c r="B81" s="27"/>
      <c r="C81" s="27"/>
      <c r="D81" s="92"/>
      <c r="E81" s="27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</row>
    <row r="82">
      <c r="A82" s="91"/>
      <c r="B82" s="92"/>
      <c r="C82" s="92"/>
      <c r="D82" s="92"/>
      <c r="E82" s="93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</row>
    <row r="83">
      <c r="A83" s="91"/>
      <c r="B83" s="27"/>
      <c r="C83" s="27"/>
      <c r="D83" s="27"/>
      <c r="E83" s="27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</row>
    <row r="84">
      <c r="A84" s="91"/>
      <c r="B84" s="27"/>
      <c r="C84" s="27"/>
      <c r="D84" s="27"/>
      <c r="E84" s="27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</row>
    <row r="85">
      <c r="A85" s="91"/>
      <c r="B85" s="27"/>
      <c r="C85" s="92"/>
      <c r="D85" s="92"/>
      <c r="E85" s="27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</row>
    <row r="86">
      <c r="A86" s="91"/>
      <c r="B86" s="27"/>
      <c r="C86" s="92"/>
      <c r="D86" s="92"/>
      <c r="E86" s="27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</row>
    <row r="87">
      <c r="A87" s="91"/>
      <c r="B87" s="27"/>
      <c r="C87" s="27"/>
      <c r="D87" s="27"/>
      <c r="E87" s="27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</row>
    <row r="88">
      <c r="A88" s="91"/>
      <c r="B88" s="27"/>
      <c r="C88" s="27"/>
      <c r="D88" s="27"/>
      <c r="E88" s="27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</row>
    <row r="89">
      <c r="A89" s="91"/>
      <c r="B89" s="27"/>
      <c r="C89" s="27"/>
      <c r="D89" s="27"/>
      <c r="E89" s="27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</row>
    <row r="90">
      <c r="A90" s="91"/>
      <c r="B90" s="27"/>
      <c r="C90" s="27"/>
      <c r="D90" s="27"/>
      <c r="E90" s="27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</row>
    <row r="91">
      <c r="A91" s="91"/>
      <c r="B91" s="27"/>
      <c r="C91" s="27"/>
      <c r="D91" s="27"/>
      <c r="E91" s="27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</row>
    <row r="92">
      <c r="A92" s="91"/>
      <c r="B92" s="27"/>
      <c r="C92" s="27"/>
      <c r="D92" s="27"/>
      <c r="E92" s="93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</row>
    <row r="93">
      <c r="A93" s="91"/>
      <c r="B93" s="27"/>
      <c r="C93" s="27"/>
      <c r="D93" s="27"/>
      <c r="E93" s="27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</row>
    <row r="94">
      <c r="A94" s="91"/>
      <c r="B94" s="27"/>
      <c r="C94" s="27"/>
      <c r="D94" s="92"/>
      <c r="E94" s="27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</row>
    <row r="95">
      <c r="A95" s="91"/>
      <c r="B95" s="27"/>
      <c r="C95" s="27"/>
      <c r="D95" s="92"/>
      <c r="E95" s="27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</row>
    <row r="96">
      <c r="A96" s="91"/>
      <c r="B96" s="27"/>
      <c r="C96" s="27"/>
      <c r="D96" s="92"/>
      <c r="E96" s="27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</row>
    <row r="97">
      <c r="A97" s="91"/>
      <c r="B97" s="27"/>
      <c r="C97" s="27"/>
      <c r="D97" s="92"/>
      <c r="E97" s="27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</row>
    <row r="98">
      <c r="A98" s="91"/>
      <c r="B98" s="27"/>
      <c r="C98" s="27"/>
      <c r="D98" s="27"/>
      <c r="E98" s="27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</row>
    <row r="99">
      <c r="A99" s="91"/>
      <c r="B99" s="27"/>
      <c r="C99" s="27"/>
      <c r="D99" s="27"/>
      <c r="E99" s="27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</row>
    <row r="100">
      <c r="A100" s="91"/>
      <c r="B100" s="27"/>
      <c r="C100" s="27"/>
      <c r="D100" s="92"/>
      <c r="E100" s="27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</row>
    <row r="101">
      <c r="A101" s="91"/>
      <c r="B101" s="27"/>
      <c r="C101" s="27"/>
      <c r="D101" s="27"/>
      <c r="E101" s="27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</row>
    <row r="102">
      <c r="A102" s="91"/>
      <c r="B102" s="27"/>
      <c r="C102" s="27"/>
      <c r="D102" s="92"/>
      <c r="E102" s="27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</row>
    <row r="103">
      <c r="A103" s="91"/>
      <c r="B103" s="27"/>
      <c r="C103" s="27"/>
      <c r="D103" s="27"/>
      <c r="E103" s="27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</row>
    <row r="104">
      <c r="A104" s="91"/>
      <c r="B104" s="27"/>
      <c r="C104" s="27"/>
      <c r="D104" s="27"/>
      <c r="E104" s="27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</row>
    <row r="105">
      <c r="A105" s="91"/>
      <c r="B105" s="27"/>
      <c r="C105" s="27"/>
      <c r="D105" s="27"/>
      <c r="E105" s="27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</row>
    <row r="106">
      <c r="A106" s="91"/>
      <c r="B106" s="27"/>
      <c r="C106" s="27"/>
      <c r="D106" s="27"/>
      <c r="E106" s="27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</row>
    <row r="107">
      <c r="A107" s="91"/>
      <c r="B107" s="27"/>
      <c r="C107" s="27"/>
      <c r="D107" s="27"/>
      <c r="E107" s="27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</row>
    <row r="108">
      <c r="A108" s="91"/>
      <c r="B108" s="27"/>
      <c r="C108" s="27"/>
      <c r="D108" s="27"/>
      <c r="E108" s="27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</row>
    <row r="109">
      <c r="A109" s="91"/>
      <c r="B109" s="27"/>
      <c r="C109" s="27"/>
      <c r="D109" s="27"/>
      <c r="E109" s="27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</row>
    <row r="110">
      <c r="A110" s="91"/>
      <c r="B110" s="27"/>
      <c r="C110" s="27"/>
      <c r="D110" s="27"/>
      <c r="E110" s="27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</row>
    <row r="111">
      <c r="A111" s="91"/>
      <c r="B111" s="27"/>
      <c r="C111" s="27"/>
      <c r="D111" s="27"/>
      <c r="E111" s="27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</row>
    <row r="112">
      <c r="A112" s="91"/>
      <c r="B112" s="27"/>
      <c r="C112" s="27"/>
      <c r="D112" s="27"/>
      <c r="E112" s="27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</row>
    <row r="113">
      <c r="A113" s="91"/>
      <c r="B113" s="92"/>
      <c r="C113" s="92"/>
      <c r="D113" s="92"/>
      <c r="E113" s="93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</row>
    <row r="114">
      <c r="A114" s="91"/>
      <c r="B114" s="27"/>
      <c r="C114" s="27"/>
      <c r="D114" s="27"/>
      <c r="E114" s="27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</row>
    <row r="115">
      <c r="A115" s="91"/>
      <c r="B115" s="27"/>
      <c r="C115" s="27"/>
      <c r="D115" s="92"/>
      <c r="E115" s="27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</row>
    <row r="116">
      <c r="A116" s="91"/>
      <c r="B116" s="27"/>
      <c r="C116" s="27"/>
      <c r="D116" s="92"/>
      <c r="E116" s="27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</row>
    <row r="117">
      <c r="A117" s="91"/>
      <c r="B117" s="27"/>
      <c r="C117" s="27"/>
      <c r="D117" s="92"/>
      <c r="E117" s="27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</row>
    <row r="118">
      <c r="A118" s="91"/>
      <c r="B118" s="27"/>
      <c r="C118" s="92"/>
      <c r="D118" s="92"/>
      <c r="E118" s="27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</row>
    <row r="119">
      <c r="A119" s="91"/>
      <c r="B119" s="27"/>
      <c r="C119" s="27"/>
      <c r="D119" s="92"/>
      <c r="E119" s="27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</row>
    <row r="120">
      <c r="A120" s="91"/>
      <c r="B120" s="27"/>
      <c r="C120" s="27"/>
      <c r="D120" s="92"/>
      <c r="E120" s="27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</row>
    <row r="121">
      <c r="A121" s="91"/>
      <c r="B121" s="27"/>
      <c r="C121" s="27"/>
      <c r="D121" s="27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</row>
    <row r="122">
      <c r="A122" s="91"/>
      <c r="B122" s="27"/>
      <c r="C122" s="92"/>
      <c r="D122" s="27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</row>
    <row r="123">
      <c r="A123" s="91"/>
      <c r="B123" s="27"/>
      <c r="C123" s="92"/>
      <c r="D123" s="27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</row>
    <row r="124">
      <c r="A124" s="91"/>
      <c r="B124" s="27"/>
      <c r="C124" s="92"/>
      <c r="D124" s="27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</row>
    <row r="125">
      <c r="A125" s="91"/>
      <c r="B125" s="27"/>
      <c r="C125" s="27"/>
      <c r="D125" s="27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</row>
    <row r="126">
      <c r="A126" s="91"/>
      <c r="B126" s="27"/>
      <c r="C126" s="27"/>
      <c r="D126" s="27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</row>
    <row r="127">
      <c r="A127" s="91"/>
      <c r="B127" s="27"/>
      <c r="C127" s="27"/>
      <c r="D127" s="27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</row>
    <row r="128">
      <c r="A128" s="91"/>
      <c r="B128" s="27"/>
      <c r="C128" s="27"/>
      <c r="D128" s="27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</row>
    <row r="129">
      <c r="A129" s="91"/>
      <c r="B129" s="92"/>
      <c r="C129" s="92"/>
      <c r="D129" s="92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</row>
    <row r="130">
      <c r="A130" s="91"/>
      <c r="B130" s="27"/>
      <c r="C130" s="27"/>
      <c r="D130" s="27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</row>
    <row r="131">
      <c r="A131" s="91"/>
      <c r="B131" s="27"/>
      <c r="C131" s="27"/>
      <c r="D131" s="27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</row>
    <row r="132">
      <c r="A132" s="91"/>
      <c r="B132" s="27"/>
      <c r="C132" s="92"/>
      <c r="D132" s="27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</row>
    <row r="133">
      <c r="A133" s="91"/>
      <c r="B133" s="27"/>
      <c r="C133" s="27"/>
      <c r="D133" s="27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</row>
    <row r="134">
      <c r="A134" s="91"/>
      <c r="B134" s="27"/>
      <c r="C134" s="27"/>
      <c r="D134" s="27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</row>
    <row r="135">
      <c r="A135" s="91"/>
      <c r="B135" s="27"/>
      <c r="C135" s="27"/>
      <c r="D135" s="27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</row>
    <row r="136">
      <c r="A136" s="91"/>
      <c r="B136" s="27"/>
      <c r="C136" s="27"/>
      <c r="D136" s="27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</row>
    <row r="137">
      <c r="A137" s="91"/>
      <c r="B137" s="27"/>
      <c r="C137" s="27"/>
      <c r="D137" s="27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</row>
    <row r="138">
      <c r="A138" s="91"/>
      <c r="B138" s="27"/>
      <c r="C138" s="27"/>
      <c r="D138" s="27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</row>
    <row r="139">
      <c r="A139" s="91"/>
      <c r="B139" s="27"/>
      <c r="C139" s="27"/>
      <c r="D139" s="27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</row>
    <row r="140">
      <c r="A140" s="91"/>
      <c r="B140" s="92"/>
      <c r="C140" s="92"/>
      <c r="D140" s="27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</row>
    <row r="141">
      <c r="A141" s="91"/>
      <c r="B141" s="27"/>
      <c r="C141" s="92"/>
      <c r="D141" s="27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</row>
    <row r="142">
      <c r="A142" s="91"/>
      <c r="B142" s="27"/>
      <c r="C142" s="92"/>
      <c r="D142" s="27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</row>
    <row r="143">
      <c r="A143" s="91"/>
      <c r="B143" s="27"/>
      <c r="C143" s="92"/>
      <c r="D143" s="27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</row>
    <row r="144">
      <c r="A144" s="91"/>
      <c r="B144" s="27"/>
      <c r="C144" s="92"/>
      <c r="D144" s="27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</row>
    <row r="145">
      <c r="A145" s="91"/>
      <c r="B145" s="27"/>
      <c r="C145" s="92"/>
      <c r="D145" s="27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</row>
    <row r="146">
      <c r="A146" s="91"/>
      <c r="B146" s="27"/>
      <c r="C146" s="92"/>
      <c r="D146" s="27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</row>
    <row r="147">
      <c r="A147" s="91"/>
      <c r="B147" s="27"/>
      <c r="C147" s="27"/>
      <c r="D147" s="27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</row>
    <row r="148">
      <c r="A148" s="91"/>
      <c r="B148" s="92"/>
      <c r="C148" s="92"/>
      <c r="D148" s="92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</row>
    <row r="149">
      <c r="A149" s="91"/>
      <c r="B149" s="27"/>
      <c r="C149" s="27"/>
      <c r="D149" s="27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</row>
    <row r="150">
      <c r="A150" s="91"/>
      <c r="B150" s="27"/>
      <c r="C150" s="27"/>
      <c r="D150" s="27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</row>
    <row r="151">
      <c r="A151" s="91"/>
      <c r="B151" s="27"/>
      <c r="C151" s="27"/>
      <c r="D151" s="27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</row>
    <row r="152">
      <c r="A152" s="91"/>
      <c r="B152" s="27"/>
      <c r="C152" s="27"/>
      <c r="D152" s="27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</row>
    <row r="153">
      <c r="A153" s="91"/>
      <c r="B153" s="27"/>
      <c r="C153" s="27"/>
      <c r="D153" s="27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</row>
    <row r="154">
      <c r="A154" s="91"/>
      <c r="B154" s="27"/>
      <c r="C154" s="27"/>
      <c r="D154" s="27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</row>
    <row r="155">
      <c r="A155" s="91"/>
      <c r="B155" s="27"/>
      <c r="C155" s="27"/>
      <c r="D155" s="27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</row>
    <row r="156">
      <c r="A156" s="91"/>
      <c r="B156" s="27"/>
      <c r="C156" s="27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</row>
    <row r="157">
      <c r="A157" s="91"/>
      <c r="B157" s="27"/>
      <c r="C157" s="27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</row>
    <row r="158">
      <c r="A158" s="91"/>
      <c r="B158" s="27"/>
      <c r="C158" s="27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</row>
    <row r="159">
      <c r="A159" s="91"/>
      <c r="B159" s="27"/>
      <c r="C159" s="27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</row>
    <row r="160">
      <c r="A160" s="91"/>
      <c r="B160" s="27"/>
      <c r="C160" s="27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</row>
    <row r="161">
      <c r="A161" s="91"/>
      <c r="B161" s="27"/>
      <c r="C161" s="27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</row>
    <row r="162">
      <c r="A162" s="91"/>
      <c r="B162" s="27"/>
      <c r="C162" s="27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</row>
    <row r="163">
      <c r="A163" s="91"/>
      <c r="B163" s="27"/>
      <c r="C163" s="27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</row>
    <row r="164">
      <c r="A164" s="91"/>
      <c r="B164" s="27"/>
      <c r="C164" s="27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</row>
    <row r="165">
      <c r="A165" s="91"/>
      <c r="B165" s="27"/>
      <c r="C165" s="27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</row>
    <row r="166">
      <c r="A166" s="91"/>
      <c r="B166" s="27"/>
      <c r="C166" s="27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</row>
    <row r="167">
      <c r="A167" s="91"/>
      <c r="B167" s="27"/>
      <c r="C167" s="27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</row>
    <row r="168">
      <c r="A168" s="91"/>
      <c r="B168" s="27"/>
      <c r="C168" s="27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</row>
    <row r="169">
      <c r="A169" s="91"/>
      <c r="B169" s="27"/>
      <c r="C169" s="27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</row>
    <row r="170">
      <c r="A170" s="91"/>
      <c r="B170" s="27"/>
      <c r="C170" s="27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</row>
    <row r="171">
      <c r="A171" s="91"/>
      <c r="B171" s="27"/>
      <c r="C171" s="27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</row>
    <row r="172">
      <c r="A172" s="91"/>
      <c r="B172" s="27"/>
      <c r="C172" s="27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</row>
    <row r="173">
      <c r="A173" s="91"/>
      <c r="B173" s="27"/>
      <c r="C173" s="27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</row>
    <row r="174">
      <c r="A174" s="91"/>
      <c r="B174" s="27"/>
      <c r="C174" s="27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</row>
    <row r="175">
      <c r="A175" s="91"/>
      <c r="B175" s="27"/>
      <c r="C175" s="27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</row>
    <row r="176">
      <c r="A176" s="91"/>
      <c r="B176" s="27"/>
      <c r="C176" s="27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</row>
    <row r="177">
      <c r="A177" s="91"/>
      <c r="B177" s="27"/>
      <c r="C177" s="27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</row>
    <row r="178">
      <c r="A178" s="91"/>
      <c r="B178" s="27"/>
      <c r="C178" s="27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</row>
    <row r="179">
      <c r="A179" s="91"/>
      <c r="B179" s="27"/>
      <c r="C179" s="27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</row>
    <row r="180">
      <c r="A180" s="91"/>
      <c r="B180" s="27"/>
      <c r="C180" s="27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</row>
    <row r="181">
      <c r="A181" s="91"/>
      <c r="B181" s="27"/>
      <c r="C181" s="27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</row>
    <row r="182">
      <c r="A182" s="91"/>
      <c r="B182" s="27"/>
      <c r="C182" s="27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</row>
    <row r="183">
      <c r="A183" s="91"/>
      <c r="B183" s="27"/>
      <c r="C183" s="27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</row>
    <row r="184">
      <c r="A184" s="91"/>
      <c r="B184" s="27"/>
      <c r="C184" s="27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</row>
    <row r="185">
      <c r="A185" s="91"/>
      <c r="B185" s="27"/>
      <c r="C185" s="27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</row>
    <row r="186">
      <c r="A186" s="91"/>
      <c r="B186" s="27"/>
      <c r="C186" s="27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</row>
    <row r="187">
      <c r="A187" s="91"/>
      <c r="B187" s="27"/>
      <c r="C187" s="27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</row>
    <row r="188">
      <c r="A188" s="91"/>
      <c r="B188" s="27"/>
      <c r="C188" s="27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</row>
    <row r="189">
      <c r="A189" s="91"/>
      <c r="B189" s="27"/>
      <c r="C189" s="27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</row>
    <row r="190">
      <c r="A190" s="91"/>
      <c r="B190" s="27"/>
      <c r="C190" s="27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</row>
    <row r="191">
      <c r="A191" s="91"/>
      <c r="B191" s="27"/>
      <c r="C191" s="27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</row>
    <row r="192">
      <c r="A192" s="91"/>
      <c r="B192" s="27"/>
      <c r="C192" s="27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</row>
    <row r="193">
      <c r="A193" s="91"/>
      <c r="B193" s="27"/>
      <c r="C193" s="27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</row>
    <row r="194">
      <c r="A194" s="91"/>
      <c r="B194" s="27"/>
      <c r="C194" s="27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</row>
    <row r="195">
      <c r="A195" s="91"/>
      <c r="B195" s="27"/>
      <c r="C195" s="27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</row>
    <row r="196">
      <c r="A196" s="91"/>
      <c r="B196" s="27"/>
      <c r="C196" s="27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</row>
    <row r="197">
      <c r="A197" s="91"/>
      <c r="B197" s="27"/>
      <c r="C197" s="27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</row>
    <row r="198">
      <c r="A198" s="91"/>
      <c r="B198" s="27"/>
      <c r="C198" s="27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</row>
    <row r="199">
      <c r="A199" s="91"/>
      <c r="B199" s="27"/>
      <c r="C199" s="27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</row>
    <row r="200">
      <c r="A200" s="91"/>
      <c r="B200" s="27"/>
      <c r="C200" s="27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</row>
    <row r="201">
      <c r="A201" s="91"/>
      <c r="B201" s="27"/>
      <c r="C201" s="27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</row>
    <row r="202">
      <c r="A202" s="91"/>
      <c r="B202" s="27"/>
      <c r="C202" s="27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</row>
    <row r="203">
      <c r="A203" s="91"/>
      <c r="B203" s="27"/>
      <c r="C203" s="27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</row>
    <row r="204">
      <c r="A204" s="91"/>
      <c r="B204" s="27"/>
      <c r="C204" s="27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</row>
    <row r="205">
      <c r="A205" s="91"/>
      <c r="B205" s="27"/>
      <c r="C205" s="27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</row>
    <row r="206">
      <c r="A206" s="91"/>
      <c r="B206" s="27"/>
      <c r="C206" s="27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</row>
    <row r="207">
      <c r="A207" s="91"/>
      <c r="B207" s="27"/>
      <c r="C207" s="27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</row>
    <row r="208">
      <c r="A208" s="91"/>
      <c r="B208" s="27"/>
      <c r="C208" s="27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</row>
    <row r="209">
      <c r="A209" s="91"/>
      <c r="B209" s="27"/>
      <c r="C209" s="27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</row>
    <row r="210">
      <c r="A210" s="91"/>
      <c r="B210" s="27"/>
      <c r="C210" s="27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</row>
    <row r="211">
      <c r="A211" s="91"/>
      <c r="B211" s="27"/>
      <c r="C211" s="27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</row>
    <row r="212">
      <c r="A212" s="91"/>
      <c r="B212" s="27"/>
      <c r="C212" s="27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</row>
    <row r="213">
      <c r="A213" s="91"/>
      <c r="B213" s="27"/>
      <c r="C213" s="27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</row>
    <row r="214">
      <c r="A214" s="91"/>
      <c r="B214" s="27"/>
      <c r="C214" s="27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</row>
    <row r="215">
      <c r="A215" s="91"/>
      <c r="B215" s="27"/>
      <c r="C215" s="27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</row>
    <row r="216">
      <c r="A216" s="91"/>
      <c r="B216" s="27"/>
      <c r="C216" s="27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</row>
    <row r="217">
      <c r="A217" s="91"/>
      <c r="B217" s="27"/>
      <c r="C217" s="27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</row>
    <row r="218">
      <c r="A218" s="91"/>
      <c r="B218" s="27"/>
      <c r="C218" s="27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</row>
    <row r="219">
      <c r="A219" s="91"/>
      <c r="B219" s="27"/>
      <c r="C219" s="27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</row>
    <row r="220">
      <c r="A220" s="91"/>
      <c r="B220" s="27"/>
      <c r="C220" s="27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</row>
    <row r="221">
      <c r="A221" s="91"/>
      <c r="B221" s="27"/>
      <c r="C221" s="27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</row>
    <row r="222">
      <c r="A222" s="91"/>
      <c r="B222" s="27"/>
      <c r="C222" s="27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</row>
    <row r="223">
      <c r="A223" s="91"/>
      <c r="B223" s="27"/>
      <c r="C223" s="27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</row>
    <row r="224">
      <c r="A224" s="91"/>
      <c r="B224" s="27"/>
      <c r="C224" s="27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</row>
    <row r="225">
      <c r="A225" s="91"/>
      <c r="B225" s="27"/>
      <c r="C225" s="27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</row>
    <row r="226">
      <c r="A226" s="91"/>
      <c r="B226" s="27"/>
      <c r="C226" s="27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</row>
    <row r="227">
      <c r="A227" s="91"/>
      <c r="B227" s="27"/>
      <c r="C227" s="27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</row>
    <row r="228">
      <c r="A228" s="91"/>
      <c r="B228" s="27"/>
      <c r="C228" s="27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</row>
    <row r="229">
      <c r="A229" s="91"/>
      <c r="B229" s="27"/>
      <c r="C229" s="27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</row>
    <row r="230">
      <c r="A230" s="91"/>
      <c r="B230" s="27"/>
      <c r="C230" s="27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</row>
    <row r="231">
      <c r="A231" s="91"/>
      <c r="B231" s="27"/>
      <c r="C231" s="27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</row>
    <row r="232">
      <c r="A232" s="91"/>
      <c r="B232" s="27"/>
      <c r="C232" s="27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</row>
    <row r="233">
      <c r="A233" s="91"/>
      <c r="B233" s="27"/>
      <c r="C233" s="27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</row>
    <row r="234">
      <c r="A234" s="91"/>
      <c r="B234" s="27"/>
      <c r="C234" s="27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</row>
    <row r="980">
      <c r="A980" s="91"/>
      <c r="B980" s="91"/>
      <c r="C980" s="94"/>
      <c r="D980" s="94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</row>
    <row r="981">
      <c r="A981" s="91"/>
      <c r="B981" s="91"/>
      <c r="C981" s="94"/>
      <c r="D981" s="94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</row>
    <row r="982">
      <c r="A982" s="91"/>
      <c r="B982" s="91"/>
      <c r="C982" s="94"/>
      <c r="D982" s="94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</row>
    <row r="983">
      <c r="A983" s="91"/>
      <c r="B983" s="91"/>
      <c r="C983" s="94"/>
      <c r="D983" s="94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</row>
    <row r="984">
      <c r="A984" s="91"/>
      <c r="B984" s="91"/>
      <c r="C984" s="94"/>
      <c r="D984" s="94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</row>
  </sheetData>
  <drawing r:id="rId1"/>
</worksheet>
</file>